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nchicagoorg-my.sharepoint.com/personal/ewang_asnchicago_org/Documents/EWang/EW YS3/FY22/Projects/FFG/"/>
    </mc:Choice>
  </mc:AlternateContent>
  <xr:revisionPtr revIDLastSave="0" documentId="8_{AE3BB5E4-8824-4B74-8E63-BC9E824222AF}" xr6:coauthVersionLast="47" xr6:coauthVersionMax="47" xr10:uidLastSave="{00000000-0000-0000-0000-000000000000}"/>
  <bookViews>
    <workbookView xWindow="-98" yWindow="-98" windowWidth="20715" windowHeight="13276" xr2:uid="{75B36DB3-779D-DB4A-BD22-583D75E0D282}"/>
  </bookViews>
  <sheets>
    <sheet name="GenInfo (2)" sheetId="1" r:id="rId1"/>
    <sheet name="Sheet1" sheetId="2" r:id="rId2"/>
  </sheets>
  <externalReferences>
    <externalReference r:id="rId3"/>
  </externalReferences>
  <definedNames>
    <definedName name="_xlnm._FilterDatabase" localSheetId="0" hidden="1">'GenInfo (2)'!$A$7:$NF$94</definedName>
    <definedName name="CurrentStatus">'[1]ADMIN TAB - DO NOT TOUCH'!$A$24:$A$33</definedName>
    <definedName name="ExitReason">'[1]ADMIN TAB - DO NOT TOUCH'!$A$88:$A$102</definedName>
    <definedName name="FY20SCHOOLS">'[1]ADMIN TAB - DO NOT TOUCH'!$A$5:$A$20</definedName>
    <definedName name="GeninfoWhole" localSheetId="0">'GenInfo (2)'!$F$8:$IL$94</definedName>
    <definedName name="Grades">'[1]ADMIN TAB - DO NOT TOUCH'!$A$106:$A$112</definedName>
    <definedName name="HiatusHB">'[1]ADMIN TAB - DO NOT TOUCH'!$A$64:$A$66</definedName>
    <definedName name="ogchecklist">#REF!</definedName>
    <definedName name="oggeninfo">#REF!</definedName>
    <definedName name="Placement">'[1]ADMIN TAB - DO NOT TOUCH'!$A$43:$A$52</definedName>
    <definedName name="Race">'[1]ADMIN TAB - DO NOT TOUCH'!$A$56:$A$60</definedName>
    <definedName name="ReferralEnd">'[1]ADMIN TAB - DO NOT TOUCH'!$A$37:$A$39</definedName>
    <definedName name="ReferralReason">'[1]ADMIN TAB - DO NOT TOUCH'!$A$70:$A$84</definedName>
    <definedName name="TranYouthStatus">'[1]ADMIN TAB - DO NOT TOUCH'!$D$4:$D$9</definedName>
    <definedName name="Z_EB78FCB4_9E97_4738_A16B_40F4F2F82765_.wvu.FilterData" localSheetId="0" hidden="1">'GenInfo (2)'!$E$14:$GN$14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E94" i="1" l="1"/>
  <c r="ND94" i="1"/>
  <c r="NB94" i="1"/>
  <c r="NA94" i="1"/>
  <c r="MY94" i="1"/>
  <c r="MX94" i="1"/>
  <c r="MV94" i="1"/>
  <c r="MU94" i="1"/>
  <c r="MS94" i="1"/>
  <c r="MR94" i="1"/>
  <c r="MP94" i="1"/>
  <c r="MO94" i="1"/>
  <c r="MM94" i="1"/>
  <c r="ML94" i="1"/>
  <c r="MJ94" i="1"/>
  <c r="MI94" i="1"/>
  <c r="MG94" i="1"/>
  <c r="MF94" i="1"/>
  <c r="MD94" i="1"/>
  <c r="MC94" i="1"/>
  <c r="MA94" i="1"/>
  <c r="LZ94" i="1"/>
  <c r="LX94" i="1"/>
  <c r="LW94" i="1"/>
  <c r="LU94" i="1"/>
  <c r="LT94" i="1"/>
  <c r="LR94" i="1"/>
  <c r="LQ94" i="1"/>
  <c r="LO94" i="1"/>
  <c r="LN94" i="1"/>
  <c r="JP94" i="1"/>
  <c r="JA94" i="1"/>
  <c r="HQ94" i="1"/>
  <c r="HP94" i="1"/>
  <c r="HO94" i="1"/>
  <c r="HN94" i="1"/>
  <c r="HM94" i="1"/>
  <c r="HL94" i="1"/>
  <c r="GZ94" i="1"/>
  <c r="GY94" i="1"/>
  <c r="GN94" i="1"/>
  <c r="GK94" i="1"/>
  <c r="GD94" i="1"/>
  <c r="FY94" i="1"/>
  <c r="FS94" i="1"/>
  <c r="FN94" i="1"/>
  <c r="FH94" i="1"/>
  <c r="FC94" i="1"/>
  <c r="ES94" i="1"/>
  <c r="EI94" i="1"/>
  <c r="DY94" i="1"/>
  <c r="DO94" i="1"/>
  <c r="DE94" i="1"/>
  <c r="CU94" i="1"/>
  <c r="CK94" i="1"/>
  <c r="CC94" i="1"/>
  <c r="BS94" i="1"/>
  <c r="BM94" i="1"/>
  <c r="BL94" i="1"/>
  <c r="BJ94" i="1"/>
  <c r="BF94" i="1"/>
  <c r="BE94" i="1"/>
  <c r="AO94" i="1"/>
  <c r="AM94" i="1"/>
  <c r="AL94" i="1"/>
  <c r="NE93" i="1"/>
  <c r="ND93" i="1"/>
  <c r="NB93" i="1"/>
  <c r="NA93" i="1"/>
  <c r="MY93" i="1"/>
  <c r="MX93" i="1"/>
  <c r="MV93" i="1"/>
  <c r="MU93" i="1"/>
  <c r="MS93" i="1"/>
  <c r="MR93" i="1"/>
  <c r="MP93" i="1"/>
  <c r="MO93" i="1"/>
  <c r="MM93" i="1"/>
  <c r="ML93" i="1"/>
  <c r="MJ93" i="1"/>
  <c r="MI93" i="1"/>
  <c r="MG93" i="1"/>
  <c r="MF93" i="1"/>
  <c r="MD93" i="1"/>
  <c r="MC93" i="1"/>
  <c r="MA93" i="1"/>
  <c r="LZ93" i="1"/>
  <c r="LX93" i="1"/>
  <c r="LW93" i="1"/>
  <c r="LU93" i="1"/>
  <c r="LT93" i="1"/>
  <c r="LR93" i="1"/>
  <c r="LQ93" i="1"/>
  <c r="LO93" i="1"/>
  <c r="LN93" i="1"/>
  <c r="JP93" i="1"/>
  <c r="JA93" i="1"/>
  <c r="HQ93" i="1"/>
  <c r="HP93" i="1"/>
  <c r="HO93" i="1"/>
  <c r="HN93" i="1"/>
  <c r="HM93" i="1"/>
  <c r="HL93" i="1"/>
  <c r="GZ93" i="1"/>
  <c r="GY93" i="1"/>
  <c r="GN93" i="1"/>
  <c r="GK93" i="1"/>
  <c r="GD93" i="1"/>
  <c r="FY93" i="1"/>
  <c r="FS93" i="1"/>
  <c r="FN93" i="1"/>
  <c r="FH93" i="1"/>
  <c r="FC93" i="1"/>
  <c r="ES93" i="1"/>
  <c r="EI93" i="1"/>
  <c r="DY93" i="1"/>
  <c r="DO93" i="1"/>
  <c r="DE93" i="1"/>
  <c r="CU93" i="1"/>
  <c r="CK93" i="1"/>
  <c r="CC93" i="1"/>
  <c r="BS93" i="1"/>
  <c r="BM93" i="1"/>
  <c r="BL93" i="1"/>
  <c r="BJ93" i="1"/>
  <c r="BF93" i="1"/>
  <c r="BE93" i="1"/>
  <c r="AO93" i="1"/>
  <c r="AM93" i="1"/>
  <c r="AL93" i="1"/>
  <c r="NE92" i="1"/>
  <c r="ND92" i="1"/>
  <c r="NB92" i="1"/>
  <c r="NA92" i="1"/>
  <c r="MY92" i="1"/>
  <c r="MX92" i="1"/>
  <c r="MV92" i="1"/>
  <c r="MU92" i="1"/>
  <c r="MS92" i="1"/>
  <c r="MR92" i="1"/>
  <c r="MP92" i="1"/>
  <c r="MO92" i="1"/>
  <c r="MM92" i="1"/>
  <c r="ML92" i="1"/>
  <c r="MJ92" i="1"/>
  <c r="MI92" i="1"/>
  <c r="MG92" i="1"/>
  <c r="MF92" i="1"/>
  <c r="MD92" i="1"/>
  <c r="MC92" i="1"/>
  <c r="MA92" i="1"/>
  <c r="LZ92" i="1"/>
  <c r="LX92" i="1"/>
  <c r="LW92" i="1"/>
  <c r="LU92" i="1"/>
  <c r="LT92" i="1"/>
  <c r="LR92" i="1"/>
  <c r="LQ92" i="1"/>
  <c r="LO92" i="1"/>
  <c r="LN92" i="1"/>
  <c r="JP92" i="1"/>
  <c r="JA92" i="1"/>
  <c r="HQ92" i="1"/>
  <c r="HP92" i="1"/>
  <c r="HO92" i="1"/>
  <c r="HN92" i="1"/>
  <c r="HM92" i="1"/>
  <c r="HL92" i="1"/>
  <c r="GZ92" i="1"/>
  <c r="GY92" i="1"/>
  <c r="GN92" i="1"/>
  <c r="GK92" i="1"/>
  <c r="GD92" i="1"/>
  <c r="FY92" i="1"/>
  <c r="FS92" i="1"/>
  <c r="FN92" i="1"/>
  <c r="FH92" i="1"/>
  <c r="FC92" i="1"/>
  <c r="ES92" i="1"/>
  <c r="EI92" i="1"/>
  <c r="DY92" i="1"/>
  <c r="DO92" i="1"/>
  <c r="DE92" i="1"/>
  <c r="CU92" i="1"/>
  <c r="CK92" i="1"/>
  <c r="CC92" i="1"/>
  <c r="BS92" i="1"/>
  <c r="BM92" i="1"/>
  <c r="BL92" i="1"/>
  <c r="BJ92" i="1"/>
  <c r="BF92" i="1"/>
  <c r="BE92" i="1"/>
  <c r="AO92" i="1"/>
  <c r="AM92" i="1"/>
  <c r="AL92" i="1"/>
  <c r="NE91" i="1"/>
  <c r="ND91" i="1"/>
  <c r="NB91" i="1"/>
  <c r="NA91" i="1"/>
  <c r="MY91" i="1"/>
  <c r="MX91" i="1"/>
  <c r="MV91" i="1"/>
  <c r="MU91" i="1"/>
  <c r="MS91" i="1"/>
  <c r="MR91" i="1"/>
  <c r="MP91" i="1"/>
  <c r="MO91" i="1"/>
  <c r="MM91" i="1"/>
  <c r="ML91" i="1"/>
  <c r="MJ91" i="1"/>
  <c r="MI91" i="1"/>
  <c r="MG91" i="1"/>
  <c r="MF91" i="1"/>
  <c r="MD91" i="1"/>
  <c r="MC91" i="1"/>
  <c r="MA91" i="1"/>
  <c r="LZ91" i="1"/>
  <c r="LX91" i="1"/>
  <c r="LW91" i="1"/>
  <c r="LU91" i="1"/>
  <c r="LT91" i="1"/>
  <c r="LR91" i="1"/>
  <c r="LQ91" i="1"/>
  <c r="LO91" i="1"/>
  <c r="LN91" i="1"/>
  <c r="JP91" i="1"/>
  <c r="JA91" i="1"/>
  <c r="HQ91" i="1"/>
  <c r="HP91" i="1"/>
  <c r="HO91" i="1"/>
  <c r="HN91" i="1"/>
  <c r="HM91" i="1"/>
  <c r="HL91" i="1"/>
  <c r="GZ91" i="1"/>
  <c r="GY91" i="1"/>
  <c r="GN91" i="1"/>
  <c r="GK91" i="1"/>
  <c r="GD91" i="1"/>
  <c r="FY91" i="1"/>
  <c r="FS91" i="1"/>
  <c r="FN91" i="1"/>
  <c r="FH91" i="1"/>
  <c r="FC91" i="1"/>
  <c r="ES91" i="1"/>
  <c r="EI91" i="1"/>
  <c r="DY91" i="1"/>
  <c r="DO91" i="1"/>
  <c r="DE91" i="1"/>
  <c r="CU91" i="1"/>
  <c r="CK91" i="1"/>
  <c r="CC91" i="1"/>
  <c r="BS91" i="1"/>
  <c r="BM91" i="1"/>
  <c r="BL91" i="1"/>
  <c r="BJ91" i="1"/>
  <c r="BF91" i="1"/>
  <c r="BE91" i="1"/>
  <c r="AO91" i="1"/>
  <c r="AM91" i="1"/>
  <c r="AL91" i="1"/>
  <c r="NE90" i="1"/>
  <c r="ND90" i="1"/>
  <c r="NB90" i="1"/>
  <c r="NA90" i="1"/>
  <c r="MY90" i="1"/>
  <c r="MX90" i="1"/>
  <c r="MV90" i="1"/>
  <c r="MU90" i="1"/>
  <c r="MS90" i="1"/>
  <c r="MR90" i="1"/>
  <c r="MP90" i="1"/>
  <c r="MO90" i="1"/>
  <c r="MM90" i="1"/>
  <c r="ML90" i="1"/>
  <c r="MJ90" i="1"/>
  <c r="MI90" i="1"/>
  <c r="MG90" i="1"/>
  <c r="MF90" i="1"/>
  <c r="MD90" i="1"/>
  <c r="MC90" i="1"/>
  <c r="MA90" i="1"/>
  <c r="LZ90" i="1"/>
  <c r="LX90" i="1"/>
  <c r="LW90" i="1"/>
  <c r="LU90" i="1"/>
  <c r="LT90" i="1"/>
  <c r="LR90" i="1"/>
  <c r="LQ90" i="1"/>
  <c r="LO90" i="1"/>
  <c r="LN90" i="1"/>
  <c r="JP90" i="1"/>
  <c r="JA90" i="1"/>
  <c r="HQ90" i="1"/>
  <c r="HP90" i="1"/>
  <c r="HO90" i="1"/>
  <c r="HN90" i="1"/>
  <c r="HM90" i="1"/>
  <c r="HL90" i="1"/>
  <c r="GZ90" i="1"/>
  <c r="GY90" i="1"/>
  <c r="GN90" i="1"/>
  <c r="GK90" i="1"/>
  <c r="GD90" i="1"/>
  <c r="FY90" i="1"/>
  <c r="FS90" i="1"/>
  <c r="FN90" i="1"/>
  <c r="FH90" i="1"/>
  <c r="FC90" i="1"/>
  <c r="ES90" i="1"/>
  <c r="EI90" i="1"/>
  <c r="DY90" i="1"/>
  <c r="DO90" i="1"/>
  <c r="DE90" i="1"/>
  <c r="CU90" i="1"/>
  <c r="CK90" i="1"/>
  <c r="CC90" i="1"/>
  <c r="BS90" i="1"/>
  <c r="BM90" i="1"/>
  <c r="BL90" i="1"/>
  <c r="BJ90" i="1"/>
  <c r="BF90" i="1"/>
  <c r="BE90" i="1"/>
  <c r="AO90" i="1"/>
  <c r="AM90" i="1"/>
  <c r="AL90" i="1"/>
  <c r="NE89" i="1"/>
  <c r="ND89" i="1"/>
  <c r="NB89" i="1"/>
  <c r="NA89" i="1"/>
  <c r="MY89" i="1"/>
  <c r="MX89" i="1"/>
  <c r="MV89" i="1"/>
  <c r="MU89" i="1"/>
  <c r="MS89" i="1"/>
  <c r="MR89" i="1"/>
  <c r="MP89" i="1"/>
  <c r="MO89" i="1"/>
  <c r="MM89" i="1"/>
  <c r="ML89" i="1"/>
  <c r="MJ89" i="1"/>
  <c r="MI89" i="1"/>
  <c r="MG89" i="1"/>
  <c r="MF89" i="1"/>
  <c r="MD89" i="1"/>
  <c r="MC89" i="1"/>
  <c r="MA89" i="1"/>
  <c r="LZ89" i="1"/>
  <c r="LX89" i="1"/>
  <c r="LW89" i="1"/>
  <c r="LU89" i="1"/>
  <c r="LT89" i="1"/>
  <c r="LR89" i="1"/>
  <c r="LQ89" i="1"/>
  <c r="LO89" i="1"/>
  <c r="LN89" i="1"/>
  <c r="JP89" i="1"/>
  <c r="JA89" i="1"/>
  <c r="HQ89" i="1"/>
  <c r="HP89" i="1"/>
  <c r="HO89" i="1"/>
  <c r="HN89" i="1"/>
  <c r="HM89" i="1"/>
  <c r="HL89" i="1"/>
  <c r="GZ89" i="1"/>
  <c r="GY89" i="1"/>
  <c r="GN89" i="1"/>
  <c r="GK89" i="1"/>
  <c r="GD89" i="1"/>
  <c r="FY89" i="1"/>
  <c r="FS89" i="1"/>
  <c r="FN89" i="1"/>
  <c r="FH89" i="1"/>
  <c r="FC89" i="1"/>
  <c r="ES89" i="1"/>
  <c r="EI89" i="1"/>
  <c r="DY89" i="1"/>
  <c r="DO89" i="1"/>
  <c r="DE89" i="1"/>
  <c r="CU89" i="1"/>
  <c r="CK89" i="1"/>
  <c r="CC89" i="1"/>
  <c r="BS89" i="1"/>
  <c r="BM89" i="1"/>
  <c r="BL89" i="1"/>
  <c r="BJ89" i="1"/>
  <c r="BF89" i="1"/>
  <c r="BE89" i="1"/>
  <c r="AO89" i="1"/>
  <c r="AM89" i="1"/>
  <c r="AL89" i="1"/>
  <c r="NE88" i="1"/>
  <c r="ND88" i="1"/>
  <c r="NB88" i="1"/>
  <c r="NA88" i="1"/>
  <c r="MY88" i="1"/>
  <c r="MX88" i="1"/>
  <c r="MV88" i="1"/>
  <c r="MU88" i="1"/>
  <c r="MS88" i="1"/>
  <c r="MR88" i="1"/>
  <c r="MP88" i="1"/>
  <c r="MO88" i="1"/>
  <c r="MM88" i="1"/>
  <c r="ML88" i="1"/>
  <c r="MJ88" i="1"/>
  <c r="MI88" i="1"/>
  <c r="MG88" i="1"/>
  <c r="MF88" i="1"/>
  <c r="MD88" i="1"/>
  <c r="MC88" i="1"/>
  <c r="MA88" i="1"/>
  <c r="LZ88" i="1"/>
  <c r="LX88" i="1"/>
  <c r="LW88" i="1"/>
  <c r="LU88" i="1"/>
  <c r="LT88" i="1"/>
  <c r="LR88" i="1"/>
  <c r="LQ88" i="1"/>
  <c r="LO88" i="1"/>
  <c r="LN88" i="1"/>
  <c r="JP88" i="1"/>
  <c r="JA88" i="1"/>
  <c r="HQ88" i="1"/>
  <c r="HP88" i="1"/>
  <c r="HO88" i="1"/>
  <c r="HN88" i="1"/>
  <c r="HM88" i="1"/>
  <c r="HL88" i="1"/>
  <c r="GZ88" i="1"/>
  <c r="GY88" i="1"/>
  <c r="GN88" i="1"/>
  <c r="GK88" i="1"/>
  <c r="GD88" i="1"/>
  <c r="FY88" i="1"/>
  <c r="FS88" i="1"/>
  <c r="FN88" i="1"/>
  <c r="FH88" i="1"/>
  <c r="FC88" i="1"/>
  <c r="ES88" i="1"/>
  <c r="EI88" i="1"/>
  <c r="DY88" i="1"/>
  <c r="DO88" i="1"/>
  <c r="DE88" i="1"/>
  <c r="CU88" i="1"/>
  <c r="CK88" i="1"/>
  <c r="CC88" i="1"/>
  <c r="BS88" i="1"/>
  <c r="BM88" i="1"/>
  <c r="BL88" i="1"/>
  <c r="BJ88" i="1"/>
  <c r="BF88" i="1"/>
  <c r="BE88" i="1"/>
  <c r="AO88" i="1"/>
  <c r="AM88" i="1"/>
  <c r="AL88" i="1"/>
  <c r="NE87" i="1"/>
  <c r="ND87" i="1"/>
  <c r="NB87" i="1"/>
  <c r="NA87" i="1"/>
  <c r="MY87" i="1"/>
  <c r="MX87" i="1"/>
  <c r="MV87" i="1"/>
  <c r="MU87" i="1"/>
  <c r="MS87" i="1"/>
  <c r="MR87" i="1"/>
  <c r="MP87" i="1"/>
  <c r="MO87" i="1"/>
  <c r="MM87" i="1"/>
  <c r="ML87" i="1"/>
  <c r="MJ87" i="1"/>
  <c r="MI87" i="1"/>
  <c r="MG87" i="1"/>
  <c r="MF87" i="1"/>
  <c r="MD87" i="1"/>
  <c r="MC87" i="1"/>
  <c r="MA87" i="1"/>
  <c r="LZ87" i="1"/>
  <c r="LX87" i="1"/>
  <c r="LW87" i="1"/>
  <c r="LU87" i="1"/>
  <c r="LT87" i="1"/>
  <c r="LR87" i="1"/>
  <c r="LQ87" i="1"/>
  <c r="LO87" i="1"/>
  <c r="LN87" i="1"/>
  <c r="JP87" i="1"/>
  <c r="JA87" i="1"/>
  <c r="HQ87" i="1"/>
  <c r="HP87" i="1"/>
  <c r="HO87" i="1"/>
  <c r="HN87" i="1"/>
  <c r="HM87" i="1"/>
  <c r="HL87" i="1"/>
  <c r="GZ87" i="1"/>
  <c r="GY87" i="1"/>
  <c r="GN87" i="1"/>
  <c r="GK87" i="1"/>
  <c r="GD87" i="1"/>
  <c r="FY87" i="1"/>
  <c r="FS87" i="1"/>
  <c r="FN87" i="1"/>
  <c r="FH87" i="1"/>
  <c r="FC87" i="1"/>
  <c r="ES87" i="1"/>
  <c r="EI87" i="1"/>
  <c r="DY87" i="1"/>
  <c r="DO87" i="1"/>
  <c r="DE87" i="1"/>
  <c r="CU87" i="1"/>
  <c r="CK87" i="1"/>
  <c r="CC87" i="1"/>
  <c r="BS87" i="1"/>
  <c r="BM87" i="1"/>
  <c r="BL87" i="1"/>
  <c r="BJ87" i="1"/>
  <c r="BF87" i="1"/>
  <c r="BE87" i="1"/>
  <c r="AO87" i="1"/>
  <c r="AM87" i="1"/>
  <c r="AL87" i="1"/>
  <c r="NE86" i="1"/>
  <c r="ND86" i="1"/>
  <c r="NB86" i="1"/>
  <c r="NA86" i="1"/>
  <c r="MY86" i="1"/>
  <c r="MX86" i="1"/>
  <c r="MV86" i="1"/>
  <c r="MU86" i="1"/>
  <c r="MS86" i="1"/>
  <c r="MR86" i="1"/>
  <c r="MP86" i="1"/>
  <c r="MO86" i="1"/>
  <c r="MM86" i="1"/>
  <c r="ML86" i="1"/>
  <c r="MJ86" i="1"/>
  <c r="MI86" i="1"/>
  <c r="MG86" i="1"/>
  <c r="MF86" i="1"/>
  <c r="MD86" i="1"/>
  <c r="MC86" i="1"/>
  <c r="MA86" i="1"/>
  <c r="LZ86" i="1"/>
  <c r="LX86" i="1"/>
  <c r="LW86" i="1"/>
  <c r="LU86" i="1"/>
  <c r="LT86" i="1"/>
  <c r="LR86" i="1"/>
  <c r="LQ86" i="1"/>
  <c r="LO86" i="1"/>
  <c r="LN86" i="1"/>
  <c r="JP86" i="1"/>
  <c r="JA86" i="1"/>
  <c r="HQ86" i="1"/>
  <c r="HP86" i="1"/>
  <c r="HO86" i="1"/>
  <c r="HN86" i="1"/>
  <c r="HM86" i="1"/>
  <c r="HL86" i="1"/>
  <c r="GZ86" i="1"/>
  <c r="GY86" i="1"/>
  <c r="GN86" i="1"/>
  <c r="GK86" i="1"/>
  <c r="GD86" i="1"/>
  <c r="FY86" i="1"/>
  <c r="FS86" i="1"/>
  <c r="FN86" i="1"/>
  <c r="FH86" i="1"/>
  <c r="FC86" i="1"/>
  <c r="ES86" i="1"/>
  <c r="EI86" i="1"/>
  <c r="DY86" i="1"/>
  <c r="DO86" i="1"/>
  <c r="DE86" i="1"/>
  <c r="CU86" i="1"/>
  <c r="CK86" i="1"/>
  <c r="CC86" i="1"/>
  <c r="BS86" i="1"/>
  <c r="BM86" i="1"/>
  <c r="BL86" i="1"/>
  <c r="BJ86" i="1"/>
  <c r="BF86" i="1"/>
  <c r="BE86" i="1"/>
  <c r="AO86" i="1"/>
  <c r="AM86" i="1"/>
  <c r="AL86" i="1"/>
  <c r="NE85" i="1"/>
  <c r="ND85" i="1"/>
  <c r="NB85" i="1"/>
  <c r="NA85" i="1"/>
  <c r="MY85" i="1"/>
  <c r="MX85" i="1"/>
  <c r="MV85" i="1"/>
  <c r="MU85" i="1"/>
  <c r="MS85" i="1"/>
  <c r="MR85" i="1"/>
  <c r="MP85" i="1"/>
  <c r="MO85" i="1"/>
  <c r="MM85" i="1"/>
  <c r="ML85" i="1"/>
  <c r="MJ85" i="1"/>
  <c r="MI85" i="1"/>
  <c r="MG85" i="1"/>
  <c r="MF85" i="1"/>
  <c r="MD85" i="1"/>
  <c r="MC85" i="1"/>
  <c r="MA85" i="1"/>
  <c r="LZ85" i="1"/>
  <c r="LX85" i="1"/>
  <c r="LW85" i="1"/>
  <c r="LU85" i="1"/>
  <c r="LT85" i="1"/>
  <c r="LR85" i="1"/>
  <c r="LQ85" i="1"/>
  <c r="LO85" i="1"/>
  <c r="LN85" i="1"/>
  <c r="JP85" i="1"/>
  <c r="JA85" i="1"/>
  <c r="HQ85" i="1"/>
  <c r="HP85" i="1"/>
  <c r="HO85" i="1"/>
  <c r="HN85" i="1"/>
  <c r="HM85" i="1"/>
  <c r="HL85" i="1"/>
  <c r="GZ85" i="1"/>
  <c r="GY85" i="1"/>
  <c r="GN85" i="1"/>
  <c r="GK85" i="1"/>
  <c r="GD85" i="1"/>
  <c r="FY85" i="1"/>
  <c r="FS85" i="1"/>
  <c r="FN85" i="1"/>
  <c r="FH85" i="1"/>
  <c r="FC85" i="1"/>
  <c r="ES85" i="1"/>
  <c r="EI85" i="1"/>
  <c r="DY85" i="1"/>
  <c r="DO85" i="1"/>
  <c r="DE85" i="1"/>
  <c r="CU85" i="1"/>
  <c r="CK85" i="1"/>
  <c r="CC85" i="1"/>
  <c r="BS85" i="1"/>
  <c r="BM85" i="1"/>
  <c r="BL85" i="1"/>
  <c r="BJ85" i="1"/>
  <c r="BF85" i="1"/>
  <c r="BE85" i="1"/>
  <c r="AO85" i="1"/>
  <c r="AM85" i="1"/>
  <c r="AL85" i="1"/>
  <c r="NE84" i="1"/>
  <c r="ND84" i="1"/>
  <c r="NB84" i="1"/>
  <c r="NA84" i="1"/>
  <c r="MY84" i="1"/>
  <c r="MX84" i="1"/>
  <c r="MV84" i="1"/>
  <c r="MU84" i="1"/>
  <c r="MS84" i="1"/>
  <c r="MR84" i="1"/>
  <c r="MP84" i="1"/>
  <c r="MO84" i="1"/>
  <c r="MM84" i="1"/>
  <c r="ML84" i="1"/>
  <c r="MJ84" i="1"/>
  <c r="MI84" i="1"/>
  <c r="MG84" i="1"/>
  <c r="MF84" i="1"/>
  <c r="MD84" i="1"/>
  <c r="MC84" i="1"/>
  <c r="MA84" i="1"/>
  <c r="LZ84" i="1"/>
  <c r="LX84" i="1"/>
  <c r="LW84" i="1"/>
  <c r="LU84" i="1"/>
  <c r="LT84" i="1"/>
  <c r="LR84" i="1"/>
  <c r="LQ84" i="1"/>
  <c r="LO84" i="1"/>
  <c r="LN84" i="1"/>
  <c r="JP84" i="1"/>
  <c r="JA84" i="1"/>
  <c r="HQ84" i="1"/>
  <c r="HP84" i="1"/>
  <c r="HO84" i="1"/>
  <c r="HN84" i="1"/>
  <c r="HM84" i="1"/>
  <c r="HL84" i="1"/>
  <c r="GZ84" i="1"/>
  <c r="GY84" i="1"/>
  <c r="GN84" i="1"/>
  <c r="GK84" i="1"/>
  <c r="GD84" i="1"/>
  <c r="FY84" i="1"/>
  <c r="FS84" i="1"/>
  <c r="FN84" i="1"/>
  <c r="FH84" i="1"/>
  <c r="FC84" i="1"/>
  <c r="ES84" i="1"/>
  <c r="EI84" i="1"/>
  <c r="DY84" i="1"/>
  <c r="DO84" i="1"/>
  <c r="DE84" i="1"/>
  <c r="CU84" i="1"/>
  <c r="CK84" i="1"/>
  <c r="CC84" i="1"/>
  <c r="BS84" i="1"/>
  <c r="BM84" i="1"/>
  <c r="BL84" i="1"/>
  <c r="BJ84" i="1"/>
  <c r="BF84" i="1"/>
  <c r="BE84" i="1"/>
  <c r="AO84" i="1"/>
  <c r="AM84" i="1"/>
  <c r="AL84" i="1"/>
  <c r="NE83" i="1"/>
  <c r="ND83" i="1"/>
  <c r="NB83" i="1"/>
  <c r="NA83" i="1"/>
  <c r="MY83" i="1"/>
  <c r="MX83" i="1"/>
  <c r="MV83" i="1"/>
  <c r="MU83" i="1"/>
  <c r="MS83" i="1"/>
  <c r="MR83" i="1"/>
  <c r="MP83" i="1"/>
  <c r="MO83" i="1"/>
  <c r="MM83" i="1"/>
  <c r="ML83" i="1"/>
  <c r="MJ83" i="1"/>
  <c r="MI83" i="1"/>
  <c r="MG83" i="1"/>
  <c r="MF83" i="1"/>
  <c r="MD83" i="1"/>
  <c r="MC83" i="1"/>
  <c r="MA83" i="1"/>
  <c r="LZ83" i="1"/>
  <c r="LX83" i="1"/>
  <c r="LW83" i="1"/>
  <c r="LU83" i="1"/>
  <c r="LT83" i="1"/>
  <c r="LR83" i="1"/>
  <c r="LQ83" i="1"/>
  <c r="LO83" i="1"/>
  <c r="LN83" i="1"/>
  <c r="JP83" i="1"/>
  <c r="JA83" i="1"/>
  <c r="HQ83" i="1"/>
  <c r="HP83" i="1"/>
  <c r="HO83" i="1"/>
  <c r="HN83" i="1"/>
  <c r="HM83" i="1"/>
  <c r="HL83" i="1"/>
  <c r="GZ83" i="1"/>
  <c r="GY83" i="1"/>
  <c r="GN83" i="1"/>
  <c r="GK83" i="1"/>
  <c r="GD83" i="1"/>
  <c r="FY83" i="1"/>
  <c r="FS83" i="1"/>
  <c r="FN83" i="1"/>
  <c r="FH83" i="1"/>
  <c r="FC83" i="1"/>
  <c r="ES83" i="1"/>
  <c r="EI83" i="1"/>
  <c r="DY83" i="1"/>
  <c r="DO83" i="1"/>
  <c r="DE83" i="1"/>
  <c r="CU83" i="1"/>
  <c r="CK83" i="1"/>
  <c r="CC83" i="1"/>
  <c r="BS83" i="1"/>
  <c r="BM83" i="1"/>
  <c r="BL83" i="1"/>
  <c r="BJ83" i="1"/>
  <c r="BF83" i="1"/>
  <c r="BE83" i="1"/>
  <c r="AO83" i="1"/>
  <c r="AM83" i="1"/>
  <c r="AL83" i="1"/>
  <c r="NE82" i="1"/>
  <c r="ND82" i="1"/>
  <c r="NB82" i="1"/>
  <c r="NA82" i="1"/>
  <c r="MY82" i="1"/>
  <c r="MX82" i="1"/>
  <c r="MV82" i="1"/>
  <c r="MU82" i="1"/>
  <c r="MS82" i="1"/>
  <c r="MR82" i="1"/>
  <c r="MP82" i="1"/>
  <c r="MO82" i="1"/>
  <c r="MM82" i="1"/>
  <c r="ML82" i="1"/>
  <c r="MJ82" i="1"/>
  <c r="MI82" i="1"/>
  <c r="MG82" i="1"/>
  <c r="MF82" i="1"/>
  <c r="MD82" i="1"/>
  <c r="MC82" i="1"/>
  <c r="MA82" i="1"/>
  <c r="LZ82" i="1"/>
  <c r="LX82" i="1"/>
  <c r="LW82" i="1"/>
  <c r="LU82" i="1"/>
  <c r="LT82" i="1"/>
  <c r="LR82" i="1"/>
  <c r="LQ82" i="1"/>
  <c r="LO82" i="1"/>
  <c r="LN82" i="1"/>
  <c r="JP82" i="1"/>
  <c r="JA82" i="1"/>
  <c r="HQ82" i="1"/>
  <c r="HP82" i="1"/>
  <c r="HO82" i="1"/>
  <c r="HN82" i="1"/>
  <c r="HM82" i="1"/>
  <c r="HL82" i="1"/>
  <c r="GZ82" i="1"/>
  <c r="GY82" i="1"/>
  <c r="GN82" i="1"/>
  <c r="GK82" i="1"/>
  <c r="GD82" i="1"/>
  <c r="FY82" i="1"/>
  <c r="FS82" i="1"/>
  <c r="FN82" i="1"/>
  <c r="FH82" i="1"/>
  <c r="FC82" i="1"/>
  <c r="ES82" i="1"/>
  <c r="EI82" i="1"/>
  <c r="DY82" i="1"/>
  <c r="DO82" i="1"/>
  <c r="DE82" i="1"/>
  <c r="CU82" i="1"/>
  <c r="CK82" i="1"/>
  <c r="CC82" i="1"/>
  <c r="BS82" i="1"/>
  <c r="BM82" i="1"/>
  <c r="BL82" i="1"/>
  <c r="BJ82" i="1"/>
  <c r="BF82" i="1"/>
  <c r="BE82" i="1"/>
  <c r="AO82" i="1"/>
  <c r="AM82" i="1"/>
  <c r="AL82" i="1"/>
  <c r="NE81" i="1"/>
  <c r="ND81" i="1"/>
  <c r="NB81" i="1"/>
  <c r="NA81" i="1"/>
  <c r="MY81" i="1"/>
  <c r="MX81" i="1"/>
  <c r="MV81" i="1"/>
  <c r="MU81" i="1"/>
  <c r="MS81" i="1"/>
  <c r="MR81" i="1"/>
  <c r="MP81" i="1"/>
  <c r="MO81" i="1"/>
  <c r="MM81" i="1"/>
  <c r="ML81" i="1"/>
  <c r="MJ81" i="1"/>
  <c r="MI81" i="1"/>
  <c r="MG81" i="1"/>
  <c r="MF81" i="1"/>
  <c r="MD81" i="1"/>
  <c r="MC81" i="1"/>
  <c r="MA81" i="1"/>
  <c r="LZ81" i="1"/>
  <c r="LX81" i="1"/>
  <c r="LW81" i="1"/>
  <c r="LU81" i="1"/>
  <c r="LT81" i="1"/>
  <c r="LR81" i="1"/>
  <c r="LQ81" i="1"/>
  <c r="LO81" i="1"/>
  <c r="LN81" i="1"/>
  <c r="JP81" i="1"/>
  <c r="JA81" i="1"/>
  <c r="HQ81" i="1"/>
  <c r="HP81" i="1"/>
  <c r="HO81" i="1"/>
  <c r="HN81" i="1"/>
  <c r="HM81" i="1"/>
  <c r="HL81" i="1"/>
  <c r="GZ81" i="1"/>
  <c r="GY81" i="1"/>
  <c r="GN81" i="1"/>
  <c r="GK81" i="1"/>
  <c r="GD81" i="1"/>
  <c r="FY81" i="1"/>
  <c r="FS81" i="1"/>
  <c r="FN81" i="1"/>
  <c r="FH81" i="1"/>
  <c r="FC81" i="1"/>
  <c r="ES81" i="1"/>
  <c r="EI81" i="1"/>
  <c r="DY81" i="1"/>
  <c r="DO81" i="1"/>
  <c r="DE81" i="1"/>
  <c r="CU81" i="1"/>
  <c r="CK81" i="1"/>
  <c r="CC81" i="1"/>
  <c r="BS81" i="1"/>
  <c r="BM81" i="1"/>
  <c r="BL81" i="1"/>
  <c r="BJ81" i="1"/>
  <c r="BF81" i="1"/>
  <c r="BE81" i="1"/>
  <c r="AO81" i="1"/>
  <c r="AM81" i="1"/>
  <c r="AL81" i="1"/>
  <c r="NE80" i="1"/>
  <c r="ND80" i="1"/>
  <c r="NB80" i="1"/>
  <c r="NA80" i="1"/>
  <c r="MY80" i="1"/>
  <c r="MX80" i="1"/>
  <c r="MV80" i="1"/>
  <c r="MU80" i="1"/>
  <c r="MS80" i="1"/>
  <c r="MR80" i="1"/>
  <c r="MP80" i="1"/>
  <c r="MO80" i="1"/>
  <c r="MM80" i="1"/>
  <c r="ML80" i="1"/>
  <c r="MJ80" i="1"/>
  <c r="MI80" i="1"/>
  <c r="MG80" i="1"/>
  <c r="MF80" i="1"/>
  <c r="MD80" i="1"/>
  <c r="MC80" i="1"/>
  <c r="MA80" i="1"/>
  <c r="LZ80" i="1"/>
  <c r="LX80" i="1"/>
  <c r="LW80" i="1"/>
  <c r="LU80" i="1"/>
  <c r="LT80" i="1"/>
  <c r="LR80" i="1"/>
  <c r="LQ80" i="1"/>
  <c r="LO80" i="1"/>
  <c r="LN80" i="1"/>
  <c r="JP80" i="1"/>
  <c r="JA80" i="1"/>
  <c r="HQ80" i="1"/>
  <c r="HP80" i="1"/>
  <c r="HO80" i="1"/>
  <c r="HN80" i="1"/>
  <c r="HM80" i="1"/>
  <c r="HL80" i="1"/>
  <c r="GZ80" i="1"/>
  <c r="GY80" i="1"/>
  <c r="GN80" i="1"/>
  <c r="GK80" i="1"/>
  <c r="GD80" i="1"/>
  <c r="FY80" i="1"/>
  <c r="FS80" i="1"/>
  <c r="FN80" i="1"/>
  <c r="FH80" i="1"/>
  <c r="FC80" i="1"/>
  <c r="ES80" i="1"/>
  <c r="EI80" i="1"/>
  <c r="DY80" i="1"/>
  <c r="DO80" i="1"/>
  <c r="DE80" i="1"/>
  <c r="CU80" i="1"/>
  <c r="CK80" i="1"/>
  <c r="CC80" i="1"/>
  <c r="BS80" i="1"/>
  <c r="BM80" i="1"/>
  <c r="BL80" i="1"/>
  <c r="BJ80" i="1"/>
  <c r="BF80" i="1"/>
  <c r="BE80" i="1"/>
  <c r="AO80" i="1"/>
  <c r="AM80" i="1"/>
  <c r="AL80" i="1"/>
  <c r="NE79" i="1"/>
  <c r="ND79" i="1"/>
  <c r="NB79" i="1"/>
  <c r="NA79" i="1"/>
  <c r="MY79" i="1"/>
  <c r="MX79" i="1"/>
  <c r="MV79" i="1"/>
  <c r="MU79" i="1"/>
  <c r="MS79" i="1"/>
  <c r="MR79" i="1"/>
  <c r="MP79" i="1"/>
  <c r="MO79" i="1"/>
  <c r="MM79" i="1"/>
  <c r="ML79" i="1"/>
  <c r="MJ79" i="1"/>
  <c r="MI79" i="1"/>
  <c r="MG79" i="1"/>
  <c r="MF79" i="1"/>
  <c r="MD79" i="1"/>
  <c r="MC79" i="1"/>
  <c r="MA79" i="1"/>
  <c r="LZ79" i="1"/>
  <c r="LX79" i="1"/>
  <c r="LW79" i="1"/>
  <c r="LU79" i="1"/>
  <c r="LT79" i="1"/>
  <c r="LR79" i="1"/>
  <c r="LQ79" i="1"/>
  <c r="LO79" i="1"/>
  <c r="LN79" i="1"/>
  <c r="JP79" i="1"/>
  <c r="JA79" i="1"/>
  <c r="HQ79" i="1"/>
  <c r="HP79" i="1"/>
  <c r="HO79" i="1"/>
  <c r="HN79" i="1"/>
  <c r="HM79" i="1"/>
  <c r="HL79" i="1"/>
  <c r="GZ79" i="1"/>
  <c r="GY79" i="1"/>
  <c r="GN79" i="1"/>
  <c r="GK79" i="1"/>
  <c r="GD79" i="1"/>
  <c r="FY79" i="1"/>
  <c r="FS79" i="1"/>
  <c r="FN79" i="1"/>
  <c r="FH79" i="1"/>
  <c r="FC79" i="1"/>
  <c r="ES79" i="1"/>
  <c r="EI79" i="1"/>
  <c r="DY79" i="1"/>
  <c r="DO79" i="1"/>
  <c r="DE79" i="1"/>
  <c r="CU79" i="1"/>
  <c r="CK79" i="1"/>
  <c r="CC79" i="1"/>
  <c r="BS79" i="1"/>
  <c r="BM79" i="1"/>
  <c r="BL79" i="1"/>
  <c r="BJ79" i="1"/>
  <c r="BF79" i="1"/>
  <c r="BE79" i="1"/>
  <c r="AO79" i="1"/>
  <c r="AM79" i="1"/>
  <c r="AL79" i="1"/>
  <c r="NE78" i="1"/>
  <c r="ND78" i="1"/>
  <c r="NB78" i="1"/>
  <c r="NA78" i="1"/>
  <c r="MY78" i="1"/>
  <c r="MX78" i="1"/>
  <c r="MV78" i="1"/>
  <c r="MU78" i="1"/>
  <c r="MS78" i="1"/>
  <c r="MR78" i="1"/>
  <c r="MP78" i="1"/>
  <c r="MO78" i="1"/>
  <c r="MM78" i="1"/>
  <c r="ML78" i="1"/>
  <c r="MJ78" i="1"/>
  <c r="MI78" i="1"/>
  <c r="MG78" i="1"/>
  <c r="MF78" i="1"/>
  <c r="MD78" i="1"/>
  <c r="MC78" i="1"/>
  <c r="MA78" i="1"/>
  <c r="LZ78" i="1"/>
  <c r="LX78" i="1"/>
  <c r="LW78" i="1"/>
  <c r="LU78" i="1"/>
  <c r="LT78" i="1"/>
  <c r="LR78" i="1"/>
  <c r="LQ78" i="1"/>
  <c r="LO78" i="1"/>
  <c r="LN78" i="1"/>
  <c r="JP78" i="1"/>
  <c r="JA78" i="1"/>
  <c r="HQ78" i="1"/>
  <c r="HP78" i="1"/>
  <c r="HO78" i="1"/>
  <c r="HN78" i="1"/>
  <c r="HM78" i="1"/>
  <c r="HL78" i="1"/>
  <c r="GZ78" i="1"/>
  <c r="GY78" i="1"/>
  <c r="GN78" i="1"/>
  <c r="GK78" i="1"/>
  <c r="GD78" i="1"/>
  <c r="FY78" i="1"/>
  <c r="FS78" i="1"/>
  <c r="FN78" i="1"/>
  <c r="FH78" i="1"/>
  <c r="FC78" i="1"/>
  <c r="ES78" i="1"/>
  <c r="EI78" i="1"/>
  <c r="DY78" i="1"/>
  <c r="DO78" i="1"/>
  <c r="DE78" i="1"/>
  <c r="CU78" i="1"/>
  <c r="CK78" i="1"/>
  <c r="CC78" i="1"/>
  <c r="BS78" i="1"/>
  <c r="BM78" i="1"/>
  <c r="BL78" i="1"/>
  <c r="BJ78" i="1"/>
  <c r="BF78" i="1"/>
  <c r="BE78" i="1"/>
  <c r="AO78" i="1"/>
  <c r="AM78" i="1"/>
  <c r="AL78" i="1"/>
  <c r="NE77" i="1"/>
  <c r="ND77" i="1"/>
  <c r="NB77" i="1"/>
  <c r="NA77" i="1"/>
  <c r="MY77" i="1"/>
  <c r="MX77" i="1"/>
  <c r="MV77" i="1"/>
  <c r="MU77" i="1"/>
  <c r="MS77" i="1"/>
  <c r="MR77" i="1"/>
  <c r="MP77" i="1"/>
  <c r="MO77" i="1"/>
  <c r="MM77" i="1"/>
  <c r="ML77" i="1"/>
  <c r="MJ77" i="1"/>
  <c r="MI77" i="1"/>
  <c r="MG77" i="1"/>
  <c r="MF77" i="1"/>
  <c r="MD77" i="1"/>
  <c r="MC77" i="1"/>
  <c r="MA77" i="1"/>
  <c r="LZ77" i="1"/>
  <c r="LX77" i="1"/>
  <c r="LW77" i="1"/>
  <c r="LU77" i="1"/>
  <c r="LT77" i="1"/>
  <c r="LR77" i="1"/>
  <c r="LQ77" i="1"/>
  <c r="LO77" i="1"/>
  <c r="LN77" i="1"/>
  <c r="JP77" i="1"/>
  <c r="JA77" i="1"/>
  <c r="HQ77" i="1"/>
  <c r="HP77" i="1"/>
  <c r="HO77" i="1"/>
  <c r="HN77" i="1"/>
  <c r="HM77" i="1"/>
  <c r="HL77" i="1"/>
  <c r="GZ77" i="1"/>
  <c r="GY77" i="1"/>
  <c r="GN77" i="1"/>
  <c r="GK77" i="1"/>
  <c r="GD77" i="1"/>
  <c r="FY77" i="1"/>
  <c r="FS77" i="1"/>
  <c r="FN77" i="1"/>
  <c r="FH77" i="1"/>
  <c r="FC77" i="1"/>
  <c r="ES77" i="1"/>
  <c r="EI77" i="1"/>
  <c r="DY77" i="1"/>
  <c r="DO77" i="1"/>
  <c r="DE77" i="1"/>
  <c r="CU77" i="1"/>
  <c r="CK77" i="1"/>
  <c r="CC77" i="1"/>
  <c r="BS77" i="1"/>
  <c r="BM77" i="1"/>
  <c r="BL77" i="1"/>
  <c r="BJ77" i="1"/>
  <c r="BF77" i="1"/>
  <c r="BE77" i="1"/>
  <c r="AO77" i="1"/>
  <c r="AM77" i="1"/>
  <c r="AL77" i="1"/>
  <c r="NE76" i="1"/>
  <c r="ND76" i="1"/>
  <c r="NB76" i="1"/>
  <c r="NA76" i="1"/>
  <c r="MY76" i="1"/>
  <c r="MX76" i="1"/>
  <c r="MV76" i="1"/>
  <c r="MU76" i="1"/>
  <c r="MS76" i="1"/>
  <c r="MR76" i="1"/>
  <c r="MP76" i="1"/>
  <c r="MO76" i="1"/>
  <c r="MM76" i="1"/>
  <c r="ML76" i="1"/>
  <c r="MJ76" i="1"/>
  <c r="MI76" i="1"/>
  <c r="MG76" i="1"/>
  <c r="MF76" i="1"/>
  <c r="MD76" i="1"/>
  <c r="MC76" i="1"/>
  <c r="MA76" i="1"/>
  <c r="LZ76" i="1"/>
  <c r="LX76" i="1"/>
  <c r="LW76" i="1"/>
  <c r="LU76" i="1"/>
  <c r="LT76" i="1"/>
  <c r="LR76" i="1"/>
  <c r="LQ76" i="1"/>
  <c r="LO76" i="1"/>
  <c r="LN76" i="1"/>
  <c r="JP76" i="1"/>
  <c r="JA76" i="1"/>
  <c r="HQ76" i="1"/>
  <c r="HP76" i="1"/>
  <c r="HO76" i="1"/>
  <c r="HN76" i="1"/>
  <c r="HM76" i="1"/>
  <c r="HL76" i="1"/>
  <c r="GZ76" i="1"/>
  <c r="GY76" i="1"/>
  <c r="GN76" i="1"/>
  <c r="GK76" i="1"/>
  <c r="GD76" i="1"/>
  <c r="FY76" i="1"/>
  <c r="FS76" i="1"/>
  <c r="FN76" i="1"/>
  <c r="FH76" i="1"/>
  <c r="FC76" i="1"/>
  <c r="ES76" i="1"/>
  <c r="EI76" i="1"/>
  <c r="DY76" i="1"/>
  <c r="DO76" i="1"/>
  <c r="DE76" i="1"/>
  <c r="CU76" i="1"/>
  <c r="CK76" i="1"/>
  <c r="CC76" i="1"/>
  <c r="BS76" i="1"/>
  <c r="BM76" i="1"/>
  <c r="BL76" i="1"/>
  <c r="BJ76" i="1"/>
  <c r="BF76" i="1"/>
  <c r="BE76" i="1"/>
  <c r="AO76" i="1"/>
  <c r="AM76" i="1"/>
  <c r="AL76" i="1"/>
  <c r="NE75" i="1"/>
  <c r="ND75" i="1"/>
  <c r="NB75" i="1"/>
  <c r="NA75" i="1"/>
  <c r="MY75" i="1"/>
  <c r="MX75" i="1"/>
  <c r="MV75" i="1"/>
  <c r="MU75" i="1"/>
  <c r="MS75" i="1"/>
  <c r="MR75" i="1"/>
  <c r="MP75" i="1"/>
  <c r="MO75" i="1"/>
  <c r="MM75" i="1"/>
  <c r="ML75" i="1"/>
  <c r="MJ75" i="1"/>
  <c r="MI75" i="1"/>
  <c r="MG75" i="1"/>
  <c r="MF75" i="1"/>
  <c r="MD75" i="1"/>
  <c r="MC75" i="1"/>
  <c r="MA75" i="1"/>
  <c r="LZ75" i="1"/>
  <c r="LX75" i="1"/>
  <c r="LW75" i="1"/>
  <c r="LU75" i="1"/>
  <c r="LT75" i="1"/>
  <c r="LR75" i="1"/>
  <c r="LQ75" i="1"/>
  <c r="LO75" i="1"/>
  <c r="LN75" i="1"/>
  <c r="JP75" i="1"/>
  <c r="JA75" i="1"/>
  <c r="HQ75" i="1"/>
  <c r="HP75" i="1"/>
  <c r="HO75" i="1"/>
  <c r="HN75" i="1"/>
  <c r="HM75" i="1"/>
  <c r="HL75" i="1"/>
  <c r="GZ75" i="1"/>
  <c r="GY75" i="1"/>
  <c r="GN75" i="1"/>
  <c r="GK75" i="1"/>
  <c r="GD75" i="1"/>
  <c r="FY75" i="1"/>
  <c r="FS75" i="1"/>
  <c r="FN75" i="1"/>
  <c r="FH75" i="1"/>
  <c r="FC75" i="1"/>
  <c r="ES75" i="1"/>
  <c r="EI75" i="1"/>
  <c r="DY75" i="1"/>
  <c r="DO75" i="1"/>
  <c r="DE75" i="1"/>
  <c r="CU75" i="1"/>
  <c r="CK75" i="1"/>
  <c r="CC75" i="1"/>
  <c r="BS75" i="1"/>
  <c r="BM75" i="1"/>
  <c r="BL75" i="1"/>
  <c r="BJ75" i="1"/>
  <c r="BF75" i="1"/>
  <c r="BE75" i="1"/>
  <c r="AO75" i="1"/>
  <c r="AM75" i="1"/>
  <c r="AL75" i="1"/>
  <c r="NE74" i="1"/>
  <c r="ND74" i="1"/>
  <c r="NB74" i="1"/>
  <c r="NA74" i="1"/>
  <c r="MY74" i="1"/>
  <c r="MX74" i="1"/>
  <c r="MV74" i="1"/>
  <c r="MU74" i="1"/>
  <c r="MS74" i="1"/>
  <c r="MR74" i="1"/>
  <c r="MP74" i="1"/>
  <c r="MO74" i="1"/>
  <c r="MM74" i="1"/>
  <c r="ML74" i="1"/>
  <c r="MJ74" i="1"/>
  <c r="MI74" i="1"/>
  <c r="MG74" i="1"/>
  <c r="MF74" i="1"/>
  <c r="MD74" i="1"/>
  <c r="MC74" i="1"/>
  <c r="MA74" i="1"/>
  <c r="LZ74" i="1"/>
  <c r="LX74" i="1"/>
  <c r="LW74" i="1"/>
  <c r="LU74" i="1"/>
  <c r="LT74" i="1"/>
  <c r="LR74" i="1"/>
  <c r="LQ74" i="1"/>
  <c r="LO74" i="1"/>
  <c r="LN74" i="1"/>
  <c r="JP74" i="1"/>
  <c r="JA74" i="1"/>
  <c r="HQ74" i="1"/>
  <c r="HP74" i="1"/>
  <c r="HO74" i="1"/>
  <c r="HN74" i="1"/>
  <c r="HM74" i="1"/>
  <c r="HL74" i="1"/>
  <c r="GZ74" i="1"/>
  <c r="GY74" i="1"/>
  <c r="GN74" i="1"/>
  <c r="GK74" i="1"/>
  <c r="GD74" i="1"/>
  <c r="FY74" i="1"/>
  <c r="FS74" i="1"/>
  <c r="FN74" i="1"/>
  <c r="FH74" i="1"/>
  <c r="FC74" i="1"/>
  <c r="ES74" i="1"/>
  <c r="EI74" i="1"/>
  <c r="DY74" i="1"/>
  <c r="DO74" i="1"/>
  <c r="DE74" i="1"/>
  <c r="CU74" i="1"/>
  <c r="CK74" i="1"/>
  <c r="CC74" i="1"/>
  <c r="BS74" i="1"/>
  <c r="BM74" i="1"/>
  <c r="BL74" i="1"/>
  <c r="BJ74" i="1"/>
  <c r="BF74" i="1"/>
  <c r="BE74" i="1"/>
  <c r="AO74" i="1"/>
  <c r="AM74" i="1"/>
  <c r="AL74" i="1"/>
  <c r="NE73" i="1"/>
  <c r="ND73" i="1"/>
  <c r="NB73" i="1"/>
  <c r="NA73" i="1"/>
  <c r="MY73" i="1"/>
  <c r="MX73" i="1"/>
  <c r="MV73" i="1"/>
  <c r="MU73" i="1"/>
  <c r="MS73" i="1"/>
  <c r="MR73" i="1"/>
  <c r="MP73" i="1"/>
  <c r="MO73" i="1"/>
  <c r="MM73" i="1"/>
  <c r="ML73" i="1"/>
  <c r="MJ73" i="1"/>
  <c r="MI73" i="1"/>
  <c r="MG73" i="1"/>
  <c r="MF73" i="1"/>
  <c r="MD73" i="1"/>
  <c r="MC73" i="1"/>
  <c r="MA73" i="1"/>
  <c r="LZ73" i="1"/>
  <c r="LX73" i="1"/>
  <c r="LW73" i="1"/>
  <c r="LU73" i="1"/>
  <c r="LT73" i="1"/>
  <c r="LR73" i="1"/>
  <c r="LQ73" i="1"/>
  <c r="LO73" i="1"/>
  <c r="LN73" i="1"/>
  <c r="JP73" i="1"/>
  <c r="JA73" i="1"/>
  <c r="HQ73" i="1"/>
  <c r="HP73" i="1"/>
  <c r="HO73" i="1"/>
  <c r="HN73" i="1"/>
  <c r="HM73" i="1"/>
  <c r="HL73" i="1"/>
  <c r="GZ73" i="1"/>
  <c r="GY73" i="1"/>
  <c r="GN73" i="1"/>
  <c r="GK73" i="1"/>
  <c r="GD73" i="1"/>
  <c r="FY73" i="1"/>
  <c r="FS73" i="1"/>
  <c r="FN73" i="1"/>
  <c r="FH73" i="1"/>
  <c r="FC73" i="1"/>
  <c r="ES73" i="1"/>
  <c r="EI73" i="1"/>
  <c r="DY73" i="1"/>
  <c r="DO73" i="1"/>
  <c r="DE73" i="1"/>
  <c r="CU73" i="1"/>
  <c r="CK73" i="1"/>
  <c r="CC73" i="1"/>
  <c r="BS73" i="1"/>
  <c r="BM73" i="1"/>
  <c r="BL73" i="1"/>
  <c r="BJ73" i="1"/>
  <c r="BF73" i="1"/>
  <c r="BE73" i="1"/>
  <c r="AO73" i="1"/>
  <c r="AM73" i="1"/>
  <c r="AL73" i="1"/>
  <c r="NE72" i="1"/>
  <c r="ND72" i="1"/>
  <c r="NB72" i="1"/>
  <c r="NA72" i="1"/>
  <c r="MY72" i="1"/>
  <c r="MX72" i="1"/>
  <c r="MV72" i="1"/>
  <c r="MU72" i="1"/>
  <c r="MS72" i="1"/>
  <c r="MR72" i="1"/>
  <c r="MP72" i="1"/>
  <c r="MO72" i="1"/>
  <c r="MM72" i="1"/>
  <c r="ML72" i="1"/>
  <c r="MJ72" i="1"/>
  <c r="MI72" i="1"/>
  <c r="MG72" i="1"/>
  <c r="MF72" i="1"/>
  <c r="MD72" i="1"/>
  <c r="MC72" i="1"/>
  <c r="MA72" i="1"/>
  <c r="LZ72" i="1"/>
  <c r="LX72" i="1"/>
  <c r="LW72" i="1"/>
  <c r="LU72" i="1"/>
  <c r="LT72" i="1"/>
  <c r="LR72" i="1"/>
  <c r="LQ72" i="1"/>
  <c r="LO72" i="1"/>
  <c r="LN72" i="1"/>
  <c r="JP72" i="1"/>
  <c r="JA72" i="1"/>
  <c r="HQ72" i="1"/>
  <c r="HP72" i="1"/>
  <c r="HO72" i="1"/>
  <c r="HN72" i="1"/>
  <c r="HM72" i="1"/>
  <c r="HL72" i="1"/>
  <c r="GZ72" i="1"/>
  <c r="GY72" i="1"/>
  <c r="GN72" i="1"/>
  <c r="GK72" i="1"/>
  <c r="GD72" i="1"/>
  <c r="FY72" i="1"/>
  <c r="FS72" i="1"/>
  <c r="FN72" i="1"/>
  <c r="FH72" i="1"/>
  <c r="FC72" i="1"/>
  <c r="ES72" i="1"/>
  <c r="EI72" i="1"/>
  <c r="DY72" i="1"/>
  <c r="DO72" i="1"/>
  <c r="DE72" i="1"/>
  <c r="CU72" i="1"/>
  <c r="CK72" i="1"/>
  <c r="CC72" i="1"/>
  <c r="BS72" i="1"/>
  <c r="BM72" i="1"/>
  <c r="BL72" i="1"/>
  <c r="BJ72" i="1"/>
  <c r="BF72" i="1"/>
  <c r="BE72" i="1"/>
  <c r="AO72" i="1"/>
  <c r="AM72" i="1"/>
  <c r="AL72" i="1"/>
  <c r="NE71" i="1"/>
  <c r="ND71" i="1"/>
  <c r="NB71" i="1"/>
  <c r="NA71" i="1"/>
  <c r="MY71" i="1"/>
  <c r="MX71" i="1"/>
  <c r="MV71" i="1"/>
  <c r="MU71" i="1"/>
  <c r="MS71" i="1"/>
  <c r="MR71" i="1"/>
  <c r="MP71" i="1"/>
  <c r="MO71" i="1"/>
  <c r="MM71" i="1"/>
  <c r="ML71" i="1"/>
  <c r="MJ71" i="1"/>
  <c r="MI71" i="1"/>
  <c r="MG71" i="1"/>
  <c r="MF71" i="1"/>
  <c r="MD71" i="1"/>
  <c r="MC71" i="1"/>
  <c r="MA71" i="1"/>
  <c r="LZ71" i="1"/>
  <c r="LX71" i="1"/>
  <c r="LW71" i="1"/>
  <c r="LU71" i="1"/>
  <c r="LT71" i="1"/>
  <c r="LR71" i="1"/>
  <c r="LQ71" i="1"/>
  <c r="LO71" i="1"/>
  <c r="LN71" i="1"/>
  <c r="JP71" i="1"/>
  <c r="JA71" i="1"/>
  <c r="HQ71" i="1"/>
  <c r="HP71" i="1"/>
  <c r="HO71" i="1"/>
  <c r="HN71" i="1"/>
  <c r="HM71" i="1"/>
  <c r="HL71" i="1"/>
  <c r="GZ71" i="1"/>
  <c r="GY71" i="1"/>
  <c r="GN71" i="1"/>
  <c r="GK71" i="1"/>
  <c r="GD71" i="1"/>
  <c r="FY71" i="1"/>
  <c r="FS71" i="1"/>
  <c r="FN71" i="1"/>
  <c r="FH71" i="1"/>
  <c r="FC71" i="1"/>
  <c r="ES71" i="1"/>
  <c r="EI71" i="1"/>
  <c r="DY71" i="1"/>
  <c r="DO71" i="1"/>
  <c r="DE71" i="1"/>
  <c r="CU71" i="1"/>
  <c r="CK71" i="1"/>
  <c r="CC71" i="1"/>
  <c r="BS71" i="1"/>
  <c r="BM71" i="1"/>
  <c r="BL71" i="1"/>
  <c r="BJ71" i="1"/>
  <c r="BF71" i="1"/>
  <c r="BE71" i="1"/>
  <c r="AO71" i="1"/>
  <c r="AM71" i="1"/>
  <c r="AL71" i="1"/>
  <c r="NE70" i="1"/>
  <c r="ND70" i="1"/>
  <c r="NB70" i="1"/>
  <c r="NA70" i="1"/>
  <c r="MY70" i="1"/>
  <c r="MX70" i="1"/>
  <c r="MV70" i="1"/>
  <c r="MU70" i="1"/>
  <c r="MS70" i="1"/>
  <c r="MR70" i="1"/>
  <c r="MP70" i="1"/>
  <c r="MO70" i="1"/>
  <c r="MM70" i="1"/>
  <c r="ML70" i="1"/>
  <c r="MJ70" i="1"/>
  <c r="MI70" i="1"/>
  <c r="MG70" i="1"/>
  <c r="MF70" i="1"/>
  <c r="MD70" i="1"/>
  <c r="MC70" i="1"/>
  <c r="MA70" i="1"/>
  <c r="LZ70" i="1"/>
  <c r="LX70" i="1"/>
  <c r="LW70" i="1"/>
  <c r="LU70" i="1"/>
  <c r="LT70" i="1"/>
  <c r="LR70" i="1"/>
  <c r="LQ70" i="1"/>
  <c r="LO70" i="1"/>
  <c r="LN70" i="1"/>
  <c r="JP70" i="1"/>
  <c r="JA70" i="1"/>
  <c r="HQ70" i="1"/>
  <c r="HP70" i="1"/>
  <c r="HO70" i="1"/>
  <c r="HN70" i="1"/>
  <c r="HM70" i="1"/>
  <c r="HL70" i="1"/>
  <c r="GZ70" i="1"/>
  <c r="GY70" i="1"/>
  <c r="GN70" i="1"/>
  <c r="GK70" i="1"/>
  <c r="GD70" i="1"/>
  <c r="FY70" i="1"/>
  <c r="FS70" i="1"/>
  <c r="FN70" i="1"/>
  <c r="FH70" i="1"/>
  <c r="FC70" i="1"/>
  <c r="ES70" i="1"/>
  <c r="EI70" i="1"/>
  <c r="DY70" i="1"/>
  <c r="DO70" i="1"/>
  <c r="DE70" i="1"/>
  <c r="CU70" i="1"/>
  <c r="CK70" i="1"/>
  <c r="CC70" i="1"/>
  <c r="BS70" i="1"/>
  <c r="BM70" i="1"/>
  <c r="BL70" i="1"/>
  <c r="BJ70" i="1"/>
  <c r="BF70" i="1"/>
  <c r="BE70" i="1"/>
  <c r="AO70" i="1"/>
  <c r="AM70" i="1"/>
  <c r="AL70" i="1"/>
  <c r="NE69" i="1"/>
  <c r="ND69" i="1"/>
  <c r="NB69" i="1"/>
  <c r="NA69" i="1"/>
  <c r="MY69" i="1"/>
  <c r="MX69" i="1"/>
  <c r="MV69" i="1"/>
  <c r="MU69" i="1"/>
  <c r="MS69" i="1"/>
  <c r="MR69" i="1"/>
  <c r="MP69" i="1"/>
  <c r="MO69" i="1"/>
  <c r="MM69" i="1"/>
  <c r="ML69" i="1"/>
  <c r="MJ69" i="1"/>
  <c r="MI69" i="1"/>
  <c r="MG69" i="1"/>
  <c r="MF69" i="1"/>
  <c r="MD69" i="1"/>
  <c r="MC69" i="1"/>
  <c r="MA69" i="1"/>
  <c r="LZ69" i="1"/>
  <c r="LX69" i="1"/>
  <c r="LW69" i="1"/>
  <c r="LU69" i="1"/>
  <c r="LT69" i="1"/>
  <c r="LR69" i="1"/>
  <c r="LQ69" i="1"/>
  <c r="LO69" i="1"/>
  <c r="LN69" i="1"/>
  <c r="JP69" i="1"/>
  <c r="JA69" i="1"/>
  <c r="HQ69" i="1"/>
  <c r="HP69" i="1"/>
  <c r="HO69" i="1"/>
  <c r="HN69" i="1"/>
  <c r="HM69" i="1"/>
  <c r="HL69" i="1"/>
  <c r="GZ69" i="1"/>
  <c r="GY69" i="1"/>
  <c r="GN69" i="1"/>
  <c r="GK69" i="1"/>
  <c r="GD69" i="1"/>
  <c r="FY69" i="1"/>
  <c r="FS69" i="1"/>
  <c r="FN69" i="1"/>
  <c r="FH69" i="1"/>
  <c r="FC69" i="1"/>
  <c r="ES69" i="1"/>
  <c r="EI69" i="1"/>
  <c r="DY69" i="1"/>
  <c r="DO69" i="1"/>
  <c r="DE69" i="1"/>
  <c r="CU69" i="1"/>
  <c r="CK69" i="1"/>
  <c r="CC69" i="1"/>
  <c r="BS69" i="1"/>
  <c r="BM69" i="1"/>
  <c r="BL69" i="1"/>
  <c r="BJ69" i="1"/>
  <c r="BF69" i="1"/>
  <c r="BE69" i="1"/>
  <c r="AO69" i="1"/>
  <c r="AM69" i="1"/>
  <c r="AL69" i="1"/>
  <c r="NE68" i="1"/>
  <c r="ND68" i="1"/>
  <c r="NB68" i="1"/>
  <c r="NA68" i="1"/>
  <c r="MY68" i="1"/>
  <c r="MX68" i="1"/>
  <c r="MV68" i="1"/>
  <c r="MU68" i="1"/>
  <c r="MS68" i="1"/>
  <c r="MR68" i="1"/>
  <c r="MP68" i="1"/>
  <c r="MO68" i="1"/>
  <c r="MM68" i="1"/>
  <c r="ML68" i="1"/>
  <c r="MJ68" i="1"/>
  <c r="MI68" i="1"/>
  <c r="MG68" i="1"/>
  <c r="MF68" i="1"/>
  <c r="MD68" i="1"/>
  <c r="MC68" i="1"/>
  <c r="MA68" i="1"/>
  <c r="LZ68" i="1"/>
  <c r="LX68" i="1"/>
  <c r="LW68" i="1"/>
  <c r="LU68" i="1"/>
  <c r="LT68" i="1"/>
  <c r="LR68" i="1"/>
  <c r="LQ68" i="1"/>
  <c r="LO68" i="1"/>
  <c r="LN68" i="1"/>
  <c r="JP68" i="1"/>
  <c r="JA68" i="1"/>
  <c r="HQ68" i="1"/>
  <c r="HP68" i="1"/>
  <c r="HO68" i="1"/>
  <c r="HN68" i="1"/>
  <c r="HM68" i="1"/>
  <c r="HL68" i="1"/>
  <c r="GZ68" i="1"/>
  <c r="GY68" i="1"/>
  <c r="GN68" i="1"/>
  <c r="GK68" i="1"/>
  <c r="GD68" i="1"/>
  <c r="FY68" i="1"/>
  <c r="FS68" i="1"/>
  <c r="FN68" i="1"/>
  <c r="FH68" i="1"/>
  <c r="FC68" i="1"/>
  <c r="ES68" i="1"/>
  <c r="EI68" i="1"/>
  <c r="DY68" i="1"/>
  <c r="DO68" i="1"/>
  <c r="DE68" i="1"/>
  <c r="CU68" i="1"/>
  <c r="CK68" i="1"/>
  <c r="CC68" i="1"/>
  <c r="BS68" i="1"/>
  <c r="BM68" i="1"/>
  <c r="BL68" i="1"/>
  <c r="BJ68" i="1"/>
  <c r="BF68" i="1"/>
  <c r="BE68" i="1"/>
  <c r="AO68" i="1"/>
  <c r="AM68" i="1"/>
  <c r="AL68" i="1"/>
  <c r="NE67" i="1"/>
  <c r="ND67" i="1"/>
  <c r="NB67" i="1"/>
  <c r="NA67" i="1"/>
  <c r="MY67" i="1"/>
  <c r="MX67" i="1"/>
  <c r="MV67" i="1"/>
  <c r="MU67" i="1"/>
  <c r="MS67" i="1"/>
  <c r="MR67" i="1"/>
  <c r="MP67" i="1"/>
  <c r="MO67" i="1"/>
  <c r="MM67" i="1"/>
  <c r="ML67" i="1"/>
  <c r="MJ67" i="1"/>
  <c r="MI67" i="1"/>
  <c r="MG67" i="1"/>
  <c r="MF67" i="1"/>
  <c r="MD67" i="1"/>
  <c r="MC67" i="1"/>
  <c r="MA67" i="1"/>
  <c r="LZ67" i="1"/>
  <c r="LX67" i="1"/>
  <c r="LW67" i="1"/>
  <c r="LU67" i="1"/>
  <c r="LT67" i="1"/>
  <c r="LR67" i="1"/>
  <c r="LQ67" i="1"/>
  <c r="LO67" i="1"/>
  <c r="LN67" i="1"/>
  <c r="JP67" i="1"/>
  <c r="JA67" i="1"/>
  <c r="HQ67" i="1"/>
  <c r="HP67" i="1"/>
  <c r="HO67" i="1"/>
  <c r="HN67" i="1"/>
  <c r="HM67" i="1"/>
  <c r="HL67" i="1"/>
  <c r="GZ67" i="1"/>
  <c r="GY67" i="1"/>
  <c r="GN67" i="1"/>
  <c r="GK67" i="1"/>
  <c r="GD67" i="1"/>
  <c r="FY67" i="1"/>
  <c r="FS67" i="1"/>
  <c r="FN67" i="1"/>
  <c r="FH67" i="1"/>
  <c r="FC67" i="1"/>
  <c r="ES67" i="1"/>
  <c r="EI67" i="1"/>
  <c r="DY67" i="1"/>
  <c r="DO67" i="1"/>
  <c r="DE67" i="1"/>
  <c r="CU67" i="1"/>
  <c r="CK67" i="1"/>
  <c r="CC67" i="1"/>
  <c r="BS67" i="1"/>
  <c r="BM67" i="1"/>
  <c r="BL67" i="1"/>
  <c r="BJ67" i="1"/>
  <c r="BF67" i="1"/>
  <c r="BE67" i="1"/>
  <c r="AO67" i="1"/>
  <c r="AM67" i="1"/>
  <c r="AL67" i="1"/>
  <c r="NE66" i="1"/>
  <c r="ND66" i="1"/>
  <c r="NB66" i="1"/>
  <c r="NA66" i="1"/>
  <c r="MY66" i="1"/>
  <c r="MX66" i="1"/>
  <c r="MV66" i="1"/>
  <c r="MU66" i="1"/>
  <c r="MS66" i="1"/>
  <c r="MR66" i="1"/>
  <c r="MP66" i="1"/>
  <c r="MO66" i="1"/>
  <c r="MM66" i="1"/>
  <c r="ML66" i="1"/>
  <c r="MJ66" i="1"/>
  <c r="MI66" i="1"/>
  <c r="MG66" i="1"/>
  <c r="MF66" i="1"/>
  <c r="MD66" i="1"/>
  <c r="MC66" i="1"/>
  <c r="MA66" i="1"/>
  <c r="LZ66" i="1"/>
  <c r="LX66" i="1"/>
  <c r="LW66" i="1"/>
  <c r="LU66" i="1"/>
  <c r="LT66" i="1"/>
  <c r="LR66" i="1"/>
  <c r="LQ66" i="1"/>
  <c r="LO66" i="1"/>
  <c r="LN66" i="1"/>
  <c r="JP66" i="1"/>
  <c r="JA66" i="1"/>
  <c r="HQ66" i="1"/>
  <c r="HP66" i="1"/>
  <c r="HO66" i="1"/>
  <c r="HN66" i="1"/>
  <c r="HM66" i="1"/>
  <c r="HL66" i="1"/>
  <c r="GZ66" i="1"/>
  <c r="GY66" i="1"/>
  <c r="GN66" i="1"/>
  <c r="GK66" i="1"/>
  <c r="GD66" i="1"/>
  <c r="FY66" i="1"/>
  <c r="FS66" i="1"/>
  <c r="FN66" i="1"/>
  <c r="FH66" i="1"/>
  <c r="FC66" i="1"/>
  <c r="ES66" i="1"/>
  <c r="EI66" i="1"/>
  <c r="DY66" i="1"/>
  <c r="DO66" i="1"/>
  <c r="DE66" i="1"/>
  <c r="CU66" i="1"/>
  <c r="CK66" i="1"/>
  <c r="CC66" i="1"/>
  <c r="BS66" i="1"/>
  <c r="BM66" i="1"/>
  <c r="BL66" i="1"/>
  <c r="BJ66" i="1"/>
  <c r="BF66" i="1"/>
  <c r="BE66" i="1"/>
  <c r="AO66" i="1"/>
  <c r="AM66" i="1"/>
  <c r="AL66" i="1"/>
  <c r="NE65" i="1"/>
  <c r="ND65" i="1"/>
  <c r="NB65" i="1"/>
  <c r="NA65" i="1"/>
  <c r="MY65" i="1"/>
  <c r="MX65" i="1"/>
  <c r="MV65" i="1"/>
  <c r="MU65" i="1"/>
  <c r="MS65" i="1"/>
  <c r="MR65" i="1"/>
  <c r="MP65" i="1"/>
  <c r="MO65" i="1"/>
  <c r="MM65" i="1"/>
  <c r="ML65" i="1"/>
  <c r="MJ65" i="1"/>
  <c r="MI65" i="1"/>
  <c r="MG65" i="1"/>
  <c r="MF65" i="1"/>
  <c r="MD65" i="1"/>
  <c r="MC65" i="1"/>
  <c r="MA65" i="1"/>
  <c r="LZ65" i="1"/>
  <c r="LX65" i="1"/>
  <c r="LW65" i="1"/>
  <c r="LU65" i="1"/>
  <c r="LT65" i="1"/>
  <c r="LR65" i="1"/>
  <c r="LQ65" i="1"/>
  <c r="LO65" i="1"/>
  <c r="LN65" i="1"/>
  <c r="JP65" i="1"/>
  <c r="JA65" i="1"/>
  <c r="HQ65" i="1"/>
  <c r="HP65" i="1"/>
  <c r="HO65" i="1"/>
  <c r="HN65" i="1"/>
  <c r="HM65" i="1"/>
  <c r="HL65" i="1"/>
  <c r="GZ65" i="1"/>
  <c r="GY65" i="1"/>
  <c r="GN65" i="1"/>
  <c r="GK65" i="1"/>
  <c r="GD65" i="1"/>
  <c r="FY65" i="1"/>
  <c r="FS65" i="1"/>
  <c r="FN65" i="1"/>
  <c r="FH65" i="1"/>
  <c r="FC65" i="1"/>
  <c r="ES65" i="1"/>
  <c r="EI65" i="1"/>
  <c r="DY65" i="1"/>
  <c r="DO65" i="1"/>
  <c r="DE65" i="1"/>
  <c r="CU65" i="1"/>
  <c r="CK65" i="1"/>
  <c r="CC65" i="1"/>
  <c r="BS65" i="1"/>
  <c r="BM65" i="1"/>
  <c r="BL65" i="1"/>
  <c r="BJ65" i="1"/>
  <c r="BF65" i="1"/>
  <c r="BE65" i="1"/>
  <c r="AO65" i="1"/>
  <c r="AM65" i="1"/>
  <c r="AL65" i="1"/>
  <c r="NE64" i="1"/>
  <c r="ND64" i="1"/>
  <c r="NB64" i="1"/>
  <c r="NA64" i="1"/>
  <c r="MY64" i="1"/>
  <c r="MX64" i="1"/>
  <c r="MV64" i="1"/>
  <c r="MU64" i="1"/>
  <c r="MS64" i="1"/>
  <c r="MR64" i="1"/>
  <c r="MP64" i="1"/>
  <c r="MO64" i="1"/>
  <c r="MM64" i="1"/>
  <c r="ML64" i="1"/>
  <c r="MJ64" i="1"/>
  <c r="MI64" i="1"/>
  <c r="MG64" i="1"/>
  <c r="MF64" i="1"/>
  <c r="MD64" i="1"/>
  <c r="MC64" i="1"/>
  <c r="MA64" i="1"/>
  <c r="LZ64" i="1"/>
  <c r="LX64" i="1"/>
  <c r="LW64" i="1"/>
  <c r="LU64" i="1"/>
  <c r="LT64" i="1"/>
  <c r="LR64" i="1"/>
  <c r="LQ64" i="1"/>
  <c r="LO64" i="1"/>
  <c r="LN64" i="1"/>
  <c r="JP64" i="1"/>
  <c r="JA64" i="1"/>
  <c r="HQ64" i="1"/>
  <c r="HP64" i="1"/>
  <c r="HO64" i="1"/>
  <c r="HN64" i="1"/>
  <c r="HM64" i="1"/>
  <c r="HL64" i="1"/>
  <c r="GZ64" i="1"/>
  <c r="GY64" i="1"/>
  <c r="GN64" i="1"/>
  <c r="GK64" i="1"/>
  <c r="GD64" i="1"/>
  <c r="FY64" i="1"/>
  <c r="FS64" i="1"/>
  <c r="FN64" i="1"/>
  <c r="FH64" i="1"/>
  <c r="FC64" i="1"/>
  <c r="ES64" i="1"/>
  <c r="EI64" i="1"/>
  <c r="DY64" i="1"/>
  <c r="DO64" i="1"/>
  <c r="DE64" i="1"/>
  <c r="CU64" i="1"/>
  <c r="CK64" i="1"/>
  <c r="CC64" i="1"/>
  <c r="BS64" i="1"/>
  <c r="BM64" i="1"/>
  <c r="BL64" i="1"/>
  <c r="BJ64" i="1"/>
  <c r="BF64" i="1"/>
  <c r="BE64" i="1"/>
  <c r="AO64" i="1"/>
  <c r="AM64" i="1"/>
  <c r="AL64" i="1"/>
  <c r="NE63" i="1"/>
  <c r="ND63" i="1"/>
  <c r="NB63" i="1"/>
  <c r="NA63" i="1"/>
  <c r="MY63" i="1"/>
  <c r="MX63" i="1"/>
  <c r="MV63" i="1"/>
  <c r="MU63" i="1"/>
  <c r="MS63" i="1"/>
  <c r="MR63" i="1"/>
  <c r="MP63" i="1"/>
  <c r="MO63" i="1"/>
  <c r="MM63" i="1"/>
  <c r="ML63" i="1"/>
  <c r="MJ63" i="1"/>
  <c r="MI63" i="1"/>
  <c r="MG63" i="1"/>
  <c r="MF63" i="1"/>
  <c r="MD63" i="1"/>
  <c r="MC63" i="1"/>
  <c r="MA63" i="1"/>
  <c r="LZ63" i="1"/>
  <c r="LX63" i="1"/>
  <c r="LW63" i="1"/>
  <c r="LU63" i="1"/>
  <c r="LT63" i="1"/>
  <c r="LR63" i="1"/>
  <c r="LQ63" i="1"/>
  <c r="LO63" i="1"/>
  <c r="LN63" i="1"/>
  <c r="JP63" i="1"/>
  <c r="JA63" i="1"/>
  <c r="HQ63" i="1"/>
  <c r="HP63" i="1"/>
  <c r="HO63" i="1"/>
  <c r="HN63" i="1"/>
  <c r="HM63" i="1"/>
  <c r="HL63" i="1"/>
  <c r="GZ63" i="1"/>
  <c r="GY63" i="1"/>
  <c r="GN63" i="1"/>
  <c r="GK63" i="1"/>
  <c r="GD63" i="1"/>
  <c r="FY63" i="1"/>
  <c r="FS63" i="1"/>
  <c r="FN63" i="1"/>
  <c r="FH63" i="1"/>
  <c r="FC63" i="1"/>
  <c r="ES63" i="1"/>
  <c r="EI63" i="1"/>
  <c r="DY63" i="1"/>
  <c r="DO63" i="1"/>
  <c r="DE63" i="1"/>
  <c r="CU63" i="1"/>
  <c r="CK63" i="1"/>
  <c r="CC63" i="1"/>
  <c r="BS63" i="1"/>
  <c r="BM63" i="1"/>
  <c r="BL63" i="1"/>
  <c r="BJ63" i="1"/>
  <c r="BF63" i="1"/>
  <c r="BE63" i="1"/>
  <c r="AO63" i="1"/>
  <c r="AM63" i="1"/>
  <c r="AL63" i="1"/>
  <c r="NE62" i="1"/>
  <c r="ND62" i="1"/>
  <c r="NB62" i="1"/>
  <c r="NA62" i="1"/>
  <c r="MY62" i="1"/>
  <c r="MX62" i="1"/>
  <c r="MV62" i="1"/>
  <c r="MU62" i="1"/>
  <c r="MS62" i="1"/>
  <c r="MR62" i="1"/>
  <c r="MP62" i="1"/>
  <c r="MO62" i="1"/>
  <c r="MM62" i="1"/>
  <c r="ML62" i="1"/>
  <c r="MJ62" i="1"/>
  <c r="MI62" i="1"/>
  <c r="MG62" i="1"/>
  <c r="MF62" i="1"/>
  <c r="MD62" i="1"/>
  <c r="MC62" i="1"/>
  <c r="MA62" i="1"/>
  <c r="LZ62" i="1"/>
  <c r="LX62" i="1"/>
  <c r="LW62" i="1"/>
  <c r="LU62" i="1"/>
  <c r="LT62" i="1"/>
  <c r="LR62" i="1"/>
  <c r="LQ62" i="1"/>
  <c r="LO62" i="1"/>
  <c r="LN62" i="1"/>
  <c r="JP62" i="1"/>
  <c r="JA62" i="1"/>
  <c r="HQ62" i="1"/>
  <c r="HP62" i="1"/>
  <c r="HO62" i="1"/>
  <c r="HN62" i="1"/>
  <c r="HM62" i="1"/>
  <c r="HL62" i="1"/>
  <c r="GZ62" i="1"/>
  <c r="GY62" i="1"/>
  <c r="GN62" i="1"/>
  <c r="GK62" i="1"/>
  <c r="GD62" i="1"/>
  <c r="FY62" i="1"/>
  <c r="FS62" i="1"/>
  <c r="FN62" i="1"/>
  <c r="FH62" i="1"/>
  <c r="FC62" i="1"/>
  <c r="ES62" i="1"/>
  <c r="EI62" i="1"/>
  <c r="DY62" i="1"/>
  <c r="DO62" i="1"/>
  <c r="DE62" i="1"/>
  <c r="CU62" i="1"/>
  <c r="CK62" i="1"/>
  <c r="CC62" i="1"/>
  <c r="BS62" i="1"/>
  <c r="BM62" i="1"/>
  <c r="BL62" i="1"/>
  <c r="BJ62" i="1"/>
  <c r="BF62" i="1"/>
  <c r="BE62" i="1"/>
  <c r="AO62" i="1"/>
  <c r="AM62" i="1"/>
  <c r="AL62" i="1"/>
  <c r="NE61" i="1"/>
  <c r="ND61" i="1"/>
  <c r="NB61" i="1"/>
  <c r="NA61" i="1"/>
  <c r="MY61" i="1"/>
  <c r="MX61" i="1"/>
  <c r="MV61" i="1"/>
  <c r="MU61" i="1"/>
  <c r="MS61" i="1"/>
  <c r="MR61" i="1"/>
  <c r="MP61" i="1"/>
  <c r="MO61" i="1"/>
  <c r="MM61" i="1"/>
  <c r="ML61" i="1"/>
  <c r="MJ61" i="1"/>
  <c r="MI61" i="1"/>
  <c r="MG61" i="1"/>
  <c r="MF61" i="1"/>
  <c r="MD61" i="1"/>
  <c r="MC61" i="1"/>
  <c r="MA61" i="1"/>
  <c r="LZ61" i="1"/>
  <c r="LX61" i="1"/>
  <c r="LW61" i="1"/>
  <c r="LU61" i="1"/>
  <c r="LT61" i="1"/>
  <c r="LR61" i="1"/>
  <c r="LQ61" i="1"/>
  <c r="LO61" i="1"/>
  <c r="LN61" i="1"/>
  <c r="JP61" i="1"/>
  <c r="JA61" i="1"/>
  <c r="HQ61" i="1"/>
  <c r="HP61" i="1"/>
  <c r="HO61" i="1"/>
  <c r="HN61" i="1"/>
  <c r="HM61" i="1"/>
  <c r="HL61" i="1"/>
  <c r="GZ61" i="1"/>
  <c r="GY61" i="1"/>
  <c r="GN61" i="1"/>
  <c r="GK61" i="1"/>
  <c r="GD61" i="1"/>
  <c r="FY61" i="1"/>
  <c r="FS61" i="1"/>
  <c r="FN61" i="1"/>
  <c r="FH61" i="1"/>
  <c r="FC61" i="1"/>
  <c r="ES61" i="1"/>
  <c r="EI61" i="1"/>
  <c r="DY61" i="1"/>
  <c r="DO61" i="1"/>
  <c r="DE61" i="1"/>
  <c r="CU61" i="1"/>
  <c r="CK61" i="1"/>
  <c r="CC61" i="1"/>
  <c r="BS61" i="1"/>
  <c r="BM61" i="1"/>
  <c r="BL61" i="1"/>
  <c r="BJ61" i="1"/>
  <c r="BF61" i="1"/>
  <c r="BE61" i="1"/>
  <c r="AO61" i="1"/>
  <c r="AM61" i="1"/>
  <c r="AL61" i="1"/>
  <c r="NE60" i="1"/>
  <c r="ND60" i="1"/>
  <c r="NB60" i="1"/>
  <c r="NA60" i="1"/>
  <c r="MY60" i="1"/>
  <c r="MX60" i="1"/>
  <c r="MV60" i="1"/>
  <c r="MU60" i="1"/>
  <c r="MS60" i="1"/>
  <c r="MR60" i="1"/>
  <c r="MP60" i="1"/>
  <c r="MO60" i="1"/>
  <c r="MM60" i="1"/>
  <c r="ML60" i="1"/>
  <c r="MJ60" i="1"/>
  <c r="MI60" i="1"/>
  <c r="MG60" i="1"/>
  <c r="MF60" i="1"/>
  <c r="MD60" i="1"/>
  <c r="MC60" i="1"/>
  <c r="MA60" i="1"/>
  <c r="LZ60" i="1"/>
  <c r="LX60" i="1"/>
  <c r="LW60" i="1"/>
  <c r="LU60" i="1"/>
  <c r="LT60" i="1"/>
  <c r="LR60" i="1"/>
  <c r="LQ60" i="1"/>
  <c r="LO60" i="1"/>
  <c r="LN60" i="1"/>
  <c r="JP60" i="1"/>
  <c r="JA60" i="1"/>
  <c r="HQ60" i="1"/>
  <c r="HP60" i="1"/>
  <c r="HO60" i="1"/>
  <c r="HN60" i="1"/>
  <c r="HM60" i="1"/>
  <c r="HL60" i="1"/>
  <c r="GZ60" i="1"/>
  <c r="GY60" i="1"/>
  <c r="GN60" i="1"/>
  <c r="GK60" i="1"/>
  <c r="GD60" i="1"/>
  <c r="FY60" i="1"/>
  <c r="FS60" i="1"/>
  <c r="FN60" i="1"/>
  <c r="FH60" i="1"/>
  <c r="FC60" i="1"/>
  <c r="ES60" i="1"/>
  <c r="EI60" i="1"/>
  <c r="DY60" i="1"/>
  <c r="DO60" i="1"/>
  <c r="DE60" i="1"/>
  <c r="CU60" i="1"/>
  <c r="CK60" i="1"/>
  <c r="CC60" i="1"/>
  <c r="BS60" i="1"/>
  <c r="BM60" i="1"/>
  <c r="BL60" i="1"/>
  <c r="BJ60" i="1"/>
  <c r="BF60" i="1"/>
  <c r="BE60" i="1"/>
  <c r="AO60" i="1"/>
  <c r="AM60" i="1"/>
  <c r="AL60" i="1"/>
  <c r="NE59" i="1"/>
  <c r="ND59" i="1"/>
  <c r="NB59" i="1"/>
  <c r="NA59" i="1"/>
  <c r="MY59" i="1"/>
  <c r="MX59" i="1"/>
  <c r="MV59" i="1"/>
  <c r="MU59" i="1"/>
  <c r="MS59" i="1"/>
  <c r="MR59" i="1"/>
  <c r="MP59" i="1"/>
  <c r="MO59" i="1"/>
  <c r="MM59" i="1"/>
  <c r="ML59" i="1"/>
  <c r="MJ59" i="1"/>
  <c r="MI59" i="1"/>
  <c r="MG59" i="1"/>
  <c r="MF59" i="1"/>
  <c r="MD59" i="1"/>
  <c r="MC59" i="1"/>
  <c r="MA59" i="1"/>
  <c r="LZ59" i="1"/>
  <c r="LX59" i="1"/>
  <c r="LW59" i="1"/>
  <c r="LU59" i="1"/>
  <c r="LT59" i="1"/>
  <c r="LR59" i="1"/>
  <c r="LQ59" i="1"/>
  <c r="LO59" i="1"/>
  <c r="LN59" i="1"/>
  <c r="JP59" i="1"/>
  <c r="JA59" i="1"/>
  <c r="HQ59" i="1"/>
  <c r="HP59" i="1"/>
  <c r="HO59" i="1"/>
  <c r="HN59" i="1"/>
  <c r="HM59" i="1"/>
  <c r="HL59" i="1"/>
  <c r="GZ59" i="1"/>
  <c r="GY59" i="1"/>
  <c r="GN59" i="1"/>
  <c r="GK59" i="1"/>
  <c r="GD59" i="1"/>
  <c r="FY59" i="1"/>
  <c r="FS59" i="1"/>
  <c r="FN59" i="1"/>
  <c r="FH59" i="1"/>
  <c r="FC59" i="1"/>
  <c r="ES59" i="1"/>
  <c r="EI59" i="1"/>
  <c r="DY59" i="1"/>
  <c r="DO59" i="1"/>
  <c r="DE59" i="1"/>
  <c r="CU59" i="1"/>
  <c r="CK59" i="1"/>
  <c r="CC59" i="1"/>
  <c r="BS59" i="1"/>
  <c r="BM59" i="1"/>
  <c r="BL59" i="1"/>
  <c r="BJ59" i="1"/>
  <c r="BF59" i="1"/>
  <c r="BE59" i="1"/>
  <c r="AO59" i="1"/>
  <c r="AM59" i="1"/>
  <c r="AL59" i="1"/>
  <c r="NE58" i="1"/>
  <c r="ND58" i="1"/>
  <c r="NB58" i="1"/>
  <c r="NA58" i="1"/>
  <c r="MY58" i="1"/>
  <c r="MX58" i="1"/>
  <c r="MV58" i="1"/>
  <c r="MU58" i="1"/>
  <c r="MS58" i="1"/>
  <c r="MR58" i="1"/>
  <c r="MP58" i="1"/>
  <c r="MO58" i="1"/>
  <c r="MM58" i="1"/>
  <c r="ML58" i="1"/>
  <c r="MJ58" i="1"/>
  <c r="MI58" i="1"/>
  <c r="MG58" i="1"/>
  <c r="MF58" i="1"/>
  <c r="MD58" i="1"/>
  <c r="MC58" i="1"/>
  <c r="MA58" i="1"/>
  <c r="LZ58" i="1"/>
  <c r="LX58" i="1"/>
  <c r="LW58" i="1"/>
  <c r="LU58" i="1"/>
  <c r="LT58" i="1"/>
  <c r="LR58" i="1"/>
  <c r="LQ58" i="1"/>
  <c r="LO58" i="1"/>
  <c r="LN58" i="1"/>
  <c r="JP58" i="1"/>
  <c r="JA58" i="1"/>
  <c r="HQ58" i="1"/>
  <c r="HP58" i="1"/>
  <c r="HO58" i="1"/>
  <c r="HN58" i="1"/>
  <c r="HM58" i="1"/>
  <c r="HL58" i="1"/>
  <c r="GZ58" i="1"/>
  <c r="GY58" i="1"/>
  <c r="GN58" i="1"/>
  <c r="GK58" i="1"/>
  <c r="GD58" i="1"/>
  <c r="FY58" i="1"/>
  <c r="FS58" i="1"/>
  <c r="FN58" i="1"/>
  <c r="FH58" i="1"/>
  <c r="FC58" i="1"/>
  <c r="ES58" i="1"/>
  <c r="EI58" i="1"/>
  <c r="DY58" i="1"/>
  <c r="DO58" i="1"/>
  <c r="DE58" i="1"/>
  <c r="CU58" i="1"/>
  <c r="CK58" i="1"/>
  <c r="CC58" i="1"/>
  <c r="BS58" i="1"/>
  <c r="BM58" i="1"/>
  <c r="BL58" i="1"/>
  <c r="BJ58" i="1"/>
  <c r="BF58" i="1"/>
  <c r="BE58" i="1"/>
  <c r="AO58" i="1"/>
  <c r="AM58" i="1"/>
  <c r="AL58" i="1"/>
  <c r="ND57" i="1"/>
  <c r="NE57" i="1" s="1"/>
  <c r="NB57" i="1"/>
  <c r="NA57" i="1"/>
  <c r="MY57" i="1"/>
  <c r="MX57" i="1"/>
  <c r="MV57" i="1"/>
  <c r="MU57" i="1"/>
  <c r="MS57" i="1"/>
  <c r="MR57" i="1"/>
  <c r="MP57" i="1"/>
  <c r="MO57" i="1"/>
  <c r="MM57" i="1"/>
  <c r="ML57" i="1"/>
  <c r="MJ57" i="1"/>
  <c r="MI57" i="1"/>
  <c r="MG57" i="1"/>
  <c r="MF57" i="1"/>
  <c r="MD57" i="1"/>
  <c r="MC57" i="1"/>
  <c r="MA57" i="1"/>
  <c r="LZ57" i="1"/>
  <c r="LX57" i="1"/>
  <c r="LW57" i="1"/>
  <c r="LU57" i="1"/>
  <c r="LT57" i="1"/>
  <c r="LR57" i="1"/>
  <c r="LQ57" i="1"/>
  <c r="LO57" i="1"/>
  <c r="LN57" i="1"/>
  <c r="JP57" i="1"/>
  <c r="JA57" i="1"/>
  <c r="HQ57" i="1"/>
  <c r="HP57" i="1"/>
  <c r="HO57" i="1"/>
  <c r="HN57" i="1"/>
  <c r="HM57" i="1"/>
  <c r="HL57" i="1"/>
  <c r="GN57" i="1"/>
  <c r="GK57" i="1"/>
  <c r="GD57" i="1"/>
  <c r="FY57" i="1"/>
  <c r="FS57" i="1"/>
  <c r="FN57" i="1"/>
  <c r="FH57" i="1"/>
  <c r="FC57" i="1"/>
  <c r="ES57" i="1"/>
  <c r="EI57" i="1"/>
  <c r="DY57" i="1"/>
  <c r="DO57" i="1"/>
  <c r="DE57" i="1"/>
  <c r="CU57" i="1"/>
  <c r="CK57" i="1"/>
  <c r="CC57" i="1"/>
  <c r="BS57" i="1"/>
  <c r="BM57" i="1"/>
  <c r="BL57" i="1"/>
  <c r="BJ57" i="1"/>
  <c r="BF57" i="1"/>
  <c r="BE57" i="1"/>
  <c r="AO57" i="1"/>
  <c r="AL57" i="1"/>
  <c r="ND56" i="1"/>
  <c r="NE56" i="1" s="1"/>
  <c r="NB56" i="1"/>
  <c r="NA56" i="1"/>
  <c r="MY56" i="1"/>
  <c r="MX56" i="1"/>
  <c r="MV56" i="1"/>
  <c r="MU56" i="1"/>
  <c r="MS56" i="1"/>
  <c r="MR56" i="1"/>
  <c r="MP56" i="1"/>
  <c r="MO56" i="1"/>
  <c r="MM56" i="1"/>
  <c r="ML56" i="1"/>
  <c r="MJ56" i="1"/>
  <c r="MI56" i="1"/>
  <c r="MG56" i="1"/>
  <c r="MF56" i="1"/>
  <c r="MD56" i="1"/>
  <c r="MC56" i="1"/>
  <c r="MA56" i="1"/>
  <c r="LZ56" i="1"/>
  <c r="LX56" i="1"/>
  <c r="LW56" i="1"/>
  <c r="LU56" i="1"/>
  <c r="LT56" i="1"/>
  <c r="LR56" i="1"/>
  <c r="LQ56" i="1"/>
  <c r="LO56" i="1"/>
  <c r="LN56" i="1"/>
  <c r="JP56" i="1"/>
  <c r="JA56" i="1"/>
  <c r="HP56" i="1"/>
  <c r="HO56" i="1"/>
  <c r="HM56" i="1"/>
  <c r="HL56" i="1"/>
  <c r="GZ56" i="1"/>
  <c r="GY56" i="1"/>
  <c r="GN56" i="1"/>
  <c r="GK56" i="1"/>
  <c r="GD56" i="1"/>
  <c r="FY56" i="1"/>
  <c r="FS56" i="1"/>
  <c r="FN56" i="1"/>
  <c r="FH56" i="1"/>
  <c r="FC56" i="1"/>
  <c r="ES56" i="1"/>
  <c r="EI56" i="1"/>
  <c r="DY56" i="1"/>
  <c r="DO56" i="1"/>
  <c r="DE56" i="1"/>
  <c r="CU56" i="1"/>
  <c r="CK56" i="1"/>
  <c r="CC56" i="1"/>
  <c r="BS56" i="1"/>
  <c r="BM56" i="1"/>
  <c r="BL56" i="1"/>
  <c r="BJ56" i="1"/>
  <c r="BF56" i="1"/>
  <c r="BE56" i="1"/>
  <c r="AO56" i="1"/>
  <c r="AM56" i="1"/>
  <c r="AL56" i="1"/>
  <c r="ND55" i="1"/>
  <c r="NE55" i="1" s="1"/>
  <c r="NB55" i="1"/>
  <c r="NA55" i="1"/>
  <c r="MY55" i="1"/>
  <c r="MX55" i="1"/>
  <c r="MV55" i="1"/>
  <c r="MU55" i="1"/>
  <c r="MS55" i="1"/>
  <c r="MR55" i="1"/>
  <c r="MP55" i="1"/>
  <c r="MO55" i="1"/>
  <c r="MM55" i="1"/>
  <c r="ML55" i="1"/>
  <c r="MJ55" i="1"/>
  <c r="MI55" i="1"/>
  <c r="MG55" i="1"/>
  <c r="MF55" i="1"/>
  <c r="MD55" i="1"/>
  <c r="MC55" i="1"/>
  <c r="MA55" i="1"/>
  <c r="LZ55" i="1"/>
  <c r="LX55" i="1"/>
  <c r="LW55" i="1"/>
  <c r="LU55" i="1"/>
  <c r="LT55" i="1"/>
  <c r="LR55" i="1"/>
  <c r="LQ55" i="1"/>
  <c r="LO55" i="1"/>
  <c r="LN55" i="1"/>
  <c r="JP55" i="1"/>
  <c r="JA55" i="1"/>
  <c r="HP55" i="1"/>
  <c r="HO55" i="1"/>
  <c r="HM55" i="1"/>
  <c r="HL55" i="1"/>
  <c r="GZ55" i="1"/>
  <c r="GY55" i="1"/>
  <c r="GN55" i="1"/>
  <c r="GK55" i="1"/>
  <c r="GD55" i="1"/>
  <c r="FY55" i="1"/>
  <c r="FS55" i="1"/>
  <c r="FN55" i="1"/>
  <c r="FH55" i="1"/>
  <c r="FC55" i="1"/>
  <c r="ES55" i="1"/>
  <c r="EI55" i="1"/>
  <c r="DY55" i="1"/>
  <c r="DO55" i="1"/>
  <c r="DE55" i="1"/>
  <c r="CU55" i="1"/>
  <c r="CK55" i="1"/>
  <c r="CC55" i="1"/>
  <c r="BS55" i="1"/>
  <c r="BM55" i="1"/>
  <c r="BL55" i="1"/>
  <c r="BJ55" i="1"/>
  <c r="BF55" i="1"/>
  <c r="BE55" i="1"/>
  <c r="AO55" i="1"/>
  <c r="AM55" i="1"/>
  <c r="AL55" i="1"/>
  <c r="ND54" i="1"/>
  <c r="NE54" i="1" s="1"/>
  <c r="NB54" i="1"/>
  <c r="NA54" i="1"/>
  <c r="MY54" i="1"/>
  <c r="MX54" i="1"/>
  <c r="MV54" i="1"/>
  <c r="MU54" i="1"/>
  <c r="MS54" i="1"/>
  <c r="MR54" i="1"/>
  <c r="MP54" i="1"/>
  <c r="MO54" i="1"/>
  <c r="MM54" i="1"/>
  <c r="ML54" i="1"/>
  <c r="MJ54" i="1"/>
  <c r="MI54" i="1"/>
  <c r="MG54" i="1"/>
  <c r="MF54" i="1"/>
  <c r="MD54" i="1"/>
  <c r="MC54" i="1"/>
  <c r="MA54" i="1"/>
  <c r="LZ54" i="1"/>
  <c r="LX54" i="1"/>
  <c r="LW54" i="1"/>
  <c r="LU54" i="1"/>
  <c r="LT54" i="1"/>
  <c r="LR54" i="1"/>
  <c r="LQ54" i="1"/>
  <c r="LO54" i="1"/>
  <c r="LN54" i="1"/>
  <c r="JP54" i="1"/>
  <c r="JA54" i="1"/>
  <c r="HP54" i="1"/>
  <c r="HO54" i="1"/>
  <c r="HM54" i="1"/>
  <c r="HL54" i="1"/>
  <c r="GN54" i="1"/>
  <c r="GK54" i="1"/>
  <c r="GD54" i="1"/>
  <c r="FY54" i="1"/>
  <c r="FS54" i="1"/>
  <c r="FN54" i="1"/>
  <c r="FH54" i="1"/>
  <c r="FC54" i="1"/>
  <c r="ES54" i="1"/>
  <c r="EI54" i="1"/>
  <c r="DY54" i="1"/>
  <c r="DO54" i="1"/>
  <c r="DE54" i="1"/>
  <c r="CU54" i="1"/>
  <c r="CK54" i="1"/>
  <c r="CC54" i="1"/>
  <c r="BS54" i="1"/>
  <c r="BM54" i="1"/>
  <c r="BL54" i="1"/>
  <c r="BJ54" i="1"/>
  <c r="BF54" i="1"/>
  <c r="BE54" i="1"/>
  <c r="AO54" i="1"/>
  <c r="AM54" i="1"/>
  <c r="AL54" i="1"/>
  <c r="ND53" i="1"/>
  <c r="NE53" i="1" s="1"/>
  <c r="NB53" i="1"/>
  <c r="NA53" i="1"/>
  <c r="MY53" i="1"/>
  <c r="MX53" i="1"/>
  <c r="MV53" i="1"/>
  <c r="MU53" i="1"/>
  <c r="MS53" i="1"/>
  <c r="MR53" i="1"/>
  <c r="MP53" i="1"/>
  <c r="MO53" i="1"/>
  <c r="MM53" i="1"/>
  <c r="ML53" i="1"/>
  <c r="MJ53" i="1"/>
  <c r="MI53" i="1"/>
  <c r="MG53" i="1"/>
  <c r="MF53" i="1"/>
  <c r="MD53" i="1"/>
  <c r="MC53" i="1"/>
  <c r="MA53" i="1"/>
  <c r="LZ53" i="1"/>
  <c r="LX53" i="1"/>
  <c r="LW53" i="1"/>
  <c r="LU53" i="1"/>
  <c r="LT53" i="1"/>
  <c r="LR53" i="1"/>
  <c r="LQ53" i="1"/>
  <c r="LO53" i="1"/>
  <c r="LN53" i="1"/>
  <c r="JP53" i="1"/>
  <c r="JA53" i="1"/>
  <c r="HP53" i="1"/>
  <c r="HM53" i="1"/>
  <c r="GZ53" i="1"/>
  <c r="GY53" i="1"/>
  <c r="GN53" i="1"/>
  <c r="GK53" i="1"/>
  <c r="GD53" i="1"/>
  <c r="FY53" i="1"/>
  <c r="FS53" i="1"/>
  <c r="FN53" i="1"/>
  <c r="FH53" i="1"/>
  <c r="FC53" i="1"/>
  <c r="ES53" i="1"/>
  <c r="EI53" i="1"/>
  <c r="DY53" i="1"/>
  <c r="DO53" i="1"/>
  <c r="DE53" i="1"/>
  <c r="CU53" i="1"/>
  <c r="CK53" i="1"/>
  <c r="CC53" i="1"/>
  <c r="BS53" i="1"/>
  <c r="BM53" i="1"/>
  <c r="BL53" i="1"/>
  <c r="BJ53" i="1"/>
  <c r="BF53" i="1"/>
  <c r="BE53" i="1"/>
  <c r="AO53" i="1"/>
  <c r="AM53" i="1"/>
  <c r="AL53" i="1"/>
  <c r="NE52" i="1"/>
  <c r="ND52" i="1"/>
  <c r="NA52" i="1"/>
  <c r="NB52" i="1" s="1"/>
  <c r="MY52" i="1"/>
  <c r="MX52" i="1"/>
  <c r="MV52" i="1"/>
  <c r="MU52" i="1"/>
  <c r="MS52" i="1"/>
  <c r="MR52" i="1"/>
  <c r="MP52" i="1"/>
  <c r="MO52" i="1"/>
  <c r="MM52" i="1"/>
  <c r="ML52" i="1"/>
  <c r="MJ52" i="1"/>
  <c r="MI52" i="1"/>
  <c r="MG52" i="1"/>
  <c r="MF52" i="1"/>
  <c r="MD52" i="1"/>
  <c r="MC52" i="1"/>
  <c r="MA52" i="1"/>
  <c r="LZ52" i="1"/>
  <c r="LX52" i="1"/>
  <c r="LW52" i="1"/>
  <c r="LU52" i="1"/>
  <c r="LT52" i="1"/>
  <c r="LR52" i="1"/>
  <c r="LQ52" i="1"/>
  <c r="LO52" i="1"/>
  <c r="LN52" i="1"/>
  <c r="JP52" i="1"/>
  <c r="JA52" i="1"/>
  <c r="HQ52" i="1"/>
  <c r="HP52" i="1"/>
  <c r="HO52" i="1"/>
  <c r="HN52" i="1"/>
  <c r="HM52" i="1"/>
  <c r="HL52" i="1"/>
  <c r="GZ52" i="1"/>
  <c r="GY52" i="1"/>
  <c r="GN52" i="1"/>
  <c r="GK52" i="1"/>
  <c r="GD52" i="1"/>
  <c r="FY52" i="1"/>
  <c r="FS52" i="1"/>
  <c r="FN52" i="1"/>
  <c r="FH52" i="1"/>
  <c r="FC52" i="1"/>
  <c r="ES52" i="1"/>
  <c r="EI52" i="1"/>
  <c r="DY52" i="1"/>
  <c r="DO52" i="1"/>
  <c r="DE52" i="1"/>
  <c r="CU52" i="1"/>
  <c r="CK52" i="1"/>
  <c r="CC52" i="1"/>
  <c r="BS52" i="1"/>
  <c r="BM52" i="1"/>
  <c r="BL52" i="1"/>
  <c r="BJ52" i="1"/>
  <c r="BF52" i="1"/>
  <c r="BE52" i="1"/>
  <c r="AO52" i="1"/>
  <c r="AM52" i="1"/>
  <c r="AL52" i="1"/>
  <c r="NE51" i="1"/>
  <c r="ND51" i="1"/>
  <c r="NA51" i="1"/>
  <c r="NB51" i="1" s="1"/>
  <c r="MY51" i="1"/>
  <c r="MX51" i="1"/>
  <c r="MV51" i="1"/>
  <c r="MU51" i="1"/>
  <c r="MS51" i="1"/>
  <c r="MR51" i="1"/>
  <c r="MP51" i="1"/>
  <c r="MO51" i="1"/>
  <c r="MM51" i="1"/>
  <c r="ML51" i="1"/>
  <c r="MJ51" i="1"/>
  <c r="MI51" i="1"/>
  <c r="MG51" i="1"/>
  <c r="MF51" i="1"/>
  <c r="MD51" i="1"/>
  <c r="MC51" i="1"/>
  <c r="MA51" i="1"/>
  <c r="LZ51" i="1"/>
  <c r="LX51" i="1"/>
  <c r="LW51" i="1"/>
  <c r="LU51" i="1"/>
  <c r="LT51" i="1"/>
  <c r="LR51" i="1"/>
  <c r="LQ51" i="1"/>
  <c r="LO51" i="1"/>
  <c r="LN51" i="1"/>
  <c r="JP51" i="1"/>
  <c r="JA51" i="1"/>
  <c r="HP51" i="1"/>
  <c r="HM51" i="1"/>
  <c r="GN51" i="1"/>
  <c r="GK51" i="1"/>
  <c r="GD51" i="1"/>
  <c r="FY51" i="1"/>
  <c r="FS51" i="1"/>
  <c r="FN51" i="1"/>
  <c r="FH51" i="1"/>
  <c r="FC51" i="1"/>
  <c r="ES51" i="1"/>
  <c r="EI51" i="1"/>
  <c r="DY51" i="1"/>
  <c r="DO51" i="1"/>
  <c r="DE51" i="1"/>
  <c r="CU51" i="1"/>
  <c r="CK51" i="1"/>
  <c r="CC51" i="1"/>
  <c r="BS51" i="1"/>
  <c r="BM51" i="1"/>
  <c r="BL51" i="1"/>
  <c r="BJ51" i="1"/>
  <c r="BF51" i="1"/>
  <c r="BE51" i="1"/>
  <c r="AO51" i="1"/>
  <c r="AM51" i="1"/>
  <c r="AL51" i="1"/>
  <c r="NE50" i="1"/>
  <c r="ND50" i="1"/>
  <c r="NA50" i="1"/>
  <c r="NB50" i="1" s="1"/>
  <c r="MY50" i="1"/>
  <c r="MX50" i="1"/>
  <c r="MV50" i="1"/>
  <c r="MU50" i="1"/>
  <c r="MS50" i="1"/>
  <c r="MR50" i="1"/>
  <c r="MP50" i="1"/>
  <c r="MO50" i="1"/>
  <c r="MM50" i="1"/>
  <c r="ML50" i="1"/>
  <c r="MJ50" i="1"/>
  <c r="MI50" i="1"/>
  <c r="MG50" i="1"/>
  <c r="MF50" i="1"/>
  <c r="MD50" i="1"/>
  <c r="MC50" i="1"/>
  <c r="MA50" i="1"/>
  <c r="LZ50" i="1"/>
  <c r="LX50" i="1"/>
  <c r="LW50" i="1"/>
  <c r="LU50" i="1"/>
  <c r="LT50" i="1"/>
  <c r="LR50" i="1"/>
  <c r="LQ50" i="1"/>
  <c r="LO50" i="1"/>
  <c r="LN50" i="1"/>
  <c r="JP50" i="1"/>
  <c r="JA50" i="1"/>
  <c r="HP50" i="1"/>
  <c r="HO50" i="1"/>
  <c r="HM50" i="1"/>
  <c r="HL50" i="1"/>
  <c r="GZ50" i="1"/>
  <c r="GY50" i="1"/>
  <c r="GN50" i="1"/>
  <c r="GK50" i="1"/>
  <c r="GD50" i="1"/>
  <c r="FY50" i="1"/>
  <c r="FS50" i="1"/>
  <c r="FN50" i="1"/>
  <c r="FH50" i="1"/>
  <c r="FC50" i="1"/>
  <c r="ES50" i="1"/>
  <c r="EI50" i="1"/>
  <c r="DY50" i="1"/>
  <c r="DO50" i="1"/>
  <c r="DE50" i="1"/>
  <c r="CU50" i="1"/>
  <c r="CK50" i="1"/>
  <c r="CC50" i="1"/>
  <c r="BS50" i="1"/>
  <c r="BM50" i="1"/>
  <c r="BL50" i="1"/>
  <c r="BJ50" i="1"/>
  <c r="BF50" i="1"/>
  <c r="BE50" i="1"/>
  <c r="AO50" i="1"/>
  <c r="AM50" i="1"/>
  <c r="AL50" i="1"/>
  <c r="NE49" i="1"/>
  <c r="ND49" i="1"/>
  <c r="NA49" i="1"/>
  <c r="NB49" i="1" s="1"/>
  <c r="MY49" i="1"/>
  <c r="MX49" i="1"/>
  <c r="MV49" i="1"/>
  <c r="MU49" i="1"/>
  <c r="MS49" i="1"/>
  <c r="MR49" i="1"/>
  <c r="MP49" i="1"/>
  <c r="MO49" i="1"/>
  <c r="MM49" i="1"/>
  <c r="ML49" i="1"/>
  <c r="MJ49" i="1"/>
  <c r="MI49" i="1"/>
  <c r="MG49" i="1"/>
  <c r="MF49" i="1"/>
  <c r="MD49" i="1"/>
  <c r="MC49" i="1"/>
  <c r="MA49" i="1"/>
  <c r="LZ49" i="1"/>
  <c r="LX49" i="1"/>
  <c r="LW49" i="1"/>
  <c r="LU49" i="1"/>
  <c r="LT49" i="1"/>
  <c r="LR49" i="1"/>
  <c r="LQ49" i="1"/>
  <c r="LO49" i="1"/>
  <c r="LN49" i="1"/>
  <c r="JP49" i="1"/>
  <c r="JA49" i="1"/>
  <c r="HP49" i="1"/>
  <c r="HM49" i="1"/>
  <c r="GZ49" i="1"/>
  <c r="GY49" i="1"/>
  <c r="GN49" i="1"/>
  <c r="GK49" i="1"/>
  <c r="GD49" i="1"/>
  <c r="FY49" i="1"/>
  <c r="FS49" i="1"/>
  <c r="FN49" i="1"/>
  <c r="FH49" i="1"/>
  <c r="FC49" i="1"/>
  <c r="ES49" i="1"/>
  <c r="EI49" i="1"/>
  <c r="DY49" i="1"/>
  <c r="DO49" i="1"/>
  <c r="DE49" i="1"/>
  <c r="CU49" i="1"/>
  <c r="CK49" i="1"/>
  <c r="CC49" i="1"/>
  <c r="BS49" i="1"/>
  <c r="BM49" i="1"/>
  <c r="BL49" i="1"/>
  <c r="BJ49" i="1"/>
  <c r="BF49" i="1"/>
  <c r="BE49" i="1"/>
  <c r="AO49" i="1"/>
  <c r="AM49" i="1"/>
  <c r="AL49" i="1"/>
  <c r="NE48" i="1"/>
  <c r="ND48" i="1"/>
  <c r="NB48" i="1"/>
  <c r="NA48" i="1"/>
  <c r="MX48" i="1"/>
  <c r="MY48" i="1" s="1"/>
  <c r="MV48" i="1"/>
  <c r="MU48" i="1"/>
  <c r="MS48" i="1"/>
  <c r="MR48" i="1"/>
  <c r="MP48" i="1"/>
  <c r="MO48" i="1"/>
  <c r="MM48" i="1"/>
  <c r="ML48" i="1"/>
  <c r="MJ48" i="1"/>
  <c r="MI48" i="1"/>
  <c r="MG48" i="1"/>
  <c r="MF48" i="1"/>
  <c r="MD48" i="1"/>
  <c r="MC48" i="1"/>
  <c r="MA48" i="1"/>
  <c r="LZ48" i="1"/>
  <c r="LX48" i="1"/>
  <c r="LW48" i="1"/>
  <c r="LU48" i="1"/>
  <c r="LT48" i="1"/>
  <c r="LR48" i="1"/>
  <c r="LQ48" i="1"/>
  <c r="LO48" i="1"/>
  <c r="LN48" i="1"/>
  <c r="JP48" i="1"/>
  <c r="JB48" i="1"/>
  <c r="JA48" i="1"/>
  <c r="HP48" i="1"/>
  <c r="HO48" i="1"/>
  <c r="HM48" i="1"/>
  <c r="HL48" i="1"/>
  <c r="GZ48" i="1"/>
  <c r="GY48" i="1"/>
  <c r="GN48" i="1"/>
  <c r="GK48" i="1"/>
  <c r="GD48" i="1"/>
  <c r="FY48" i="1"/>
  <c r="FS48" i="1"/>
  <c r="FN48" i="1"/>
  <c r="FH48" i="1"/>
  <c r="FC48" i="1"/>
  <c r="ES48" i="1"/>
  <c r="EI48" i="1"/>
  <c r="DY48" i="1"/>
  <c r="DO48" i="1"/>
  <c r="DE48" i="1"/>
  <c r="CU48" i="1"/>
  <c r="CK48" i="1"/>
  <c r="CC48" i="1"/>
  <c r="BS48" i="1"/>
  <c r="BM48" i="1"/>
  <c r="BL48" i="1"/>
  <c r="BJ48" i="1"/>
  <c r="BF48" i="1"/>
  <c r="BE48" i="1"/>
  <c r="AO48" i="1"/>
  <c r="AM48" i="1"/>
  <c r="AL48" i="1"/>
  <c r="NE47" i="1"/>
  <c r="ND47" i="1"/>
  <c r="NB47" i="1"/>
  <c r="NA47" i="1"/>
  <c r="MX47" i="1"/>
  <c r="MY47" i="1" s="1"/>
  <c r="MV47" i="1"/>
  <c r="MU47" i="1"/>
  <c r="MS47" i="1"/>
  <c r="MR47" i="1"/>
  <c r="MP47" i="1"/>
  <c r="MO47" i="1"/>
  <c r="MM47" i="1"/>
  <c r="ML47" i="1"/>
  <c r="MJ47" i="1"/>
  <c r="MI47" i="1"/>
  <c r="MG47" i="1"/>
  <c r="MF47" i="1"/>
  <c r="MD47" i="1"/>
  <c r="MC47" i="1"/>
  <c r="MA47" i="1"/>
  <c r="LZ47" i="1"/>
  <c r="LX47" i="1"/>
  <c r="LW47" i="1"/>
  <c r="LU47" i="1"/>
  <c r="LT47" i="1"/>
  <c r="LR47" i="1"/>
  <c r="LQ47" i="1"/>
  <c r="LO47" i="1"/>
  <c r="LN47" i="1"/>
  <c r="JP47" i="1"/>
  <c r="JA47" i="1"/>
  <c r="HQ47" i="1"/>
  <c r="HP47" i="1"/>
  <c r="HN47" i="1"/>
  <c r="HM47" i="1"/>
  <c r="GZ47" i="1"/>
  <c r="GY47" i="1"/>
  <c r="GN47" i="1"/>
  <c r="GK47" i="1"/>
  <c r="GD47" i="1"/>
  <c r="FY47" i="1"/>
  <c r="FS47" i="1"/>
  <c r="FN47" i="1"/>
  <c r="FH47" i="1"/>
  <c r="FC47" i="1"/>
  <c r="ES47" i="1"/>
  <c r="EI47" i="1"/>
  <c r="DY47" i="1"/>
  <c r="DO47" i="1"/>
  <c r="DE47" i="1"/>
  <c r="CU47" i="1"/>
  <c r="CK47" i="1"/>
  <c r="CC47" i="1"/>
  <c r="BS47" i="1"/>
  <c r="BM47" i="1"/>
  <c r="BL47" i="1"/>
  <c r="BJ47" i="1"/>
  <c r="BF47" i="1"/>
  <c r="BE47" i="1"/>
  <c r="AO47" i="1"/>
  <c r="AM47" i="1"/>
  <c r="AL47" i="1"/>
  <c r="NE46" i="1"/>
  <c r="ND46" i="1"/>
  <c r="NB46" i="1"/>
  <c r="NA46" i="1"/>
  <c r="MX46" i="1"/>
  <c r="MY46" i="1" s="1"/>
  <c r="MV46" i="1"/>
  <c r="MU46" i="1"/>
  <c r="MS46" i="1"/>
  <c r="MR46" i="1"/>
  <c r="MP46" i="1"/>
  <c r="MO46" i="1"/>
  <c r="MM46" i="1"/>
  <c r="ML46" i="1"/>
  <c r="MJ46" i="1"/>
  <c r="MI46" i="1"/>
  <c r="MG46" i="1"/>
  <c r="MF46" i="1"/>
  <c r="MD46" i="1"/>
  <c r="MC46" i="1"/>
  <c r="MA46" i="1"/>
  <c r="LZ46" i="1"/>
  <c r="LX46" i="1"/>
  <c r="LW46" i="1"/>
  <c r="LU46" i="1"/>
  <c r="LT46" i="1"/>
  <c r="LR46" i="1"/>
  <c r="LQ46" i="1"/>
  <c r="LO46" i="1"/>
  <c r="LN46" i="1"/>
  <c r="JP46" i="1"/>
  <c r="JA46" i="1"/>
  <c r="HP46" i="1"/>
  <c r="HM46" i="1"/>
  <c r="GN46" i="1"/>
  <c r="GK46" i="1"/>
  <c r="GD46" i="1"/>
  <c r="FY46" i="1"/>
  <c r="FS46" i="1"/>
  <c r="FN46" i="1"/>
  <c r="FH46" i="1"/>
  <c r="FC46" i="1"/>
  <c r="ES46" i="1"/>
  <c r="EI46" i="1"/>
  <c r="DY46" i="1"/>
  <c r="DO46" i="1"/>
  <c r="DE46" i="1"/>
  <c r="CU46" i="1"/>
  <c r="CK46" i="1"/>
  <c r="CC46" i="1"/>
  <c r="BS46" i="1"/>
  <c r="BM46" i="1"/>
  <c r="BL46" i="1"/>
  <c r="BJ46" i="1"/>
  <c r="BF46" i="1"/>
  <c r="BE46" i="1"/>
  <c r="AO46" i="1"/>
  <c r="AM46" i="1"/>
  <c r="AL46" i="1"/>
  <c r="NE45" i="1"/>
  <c r="ND45" i="1"/>
  <c r="NB45" i="1"/>
  <c r="NA45" i="1"/>
  <c r="MX45" i="1"/>
  <c r="MY45" i="1" s="1"/>
  <c r="MV45" i="1"/>
  <c r="MU45" i="1"/>
  <c r="MS45" i="1"/>
  <c r="MR45" i="1"/>
  <c r="MP45" i="1"/>
  <c r="MO45" i="1"/>
  <c r="MM45" i="1"/>
  <c r="ML45" i="1"/>
  <c r="MJ45" i="1"/>
  <c r="MI45" i="1"/>
  <c r="MG45" i="1"/>
  <c r="MF45" i="1"/>
  <c r="MD45" i="1"/>
  <c r="MC45" i="1"/>
  <c r="MA45" i="1"/>
  <c r="LZ45" i="1"/>
  <c r="LX45" i="1"/>
  <c r="LW45" i="1"/>
  <c r="LU45" i="1"/>
  <c r="LT45" i="1"/>
  <c r="LR45" i="1"/>
  <c r="LQ45" i="1"/>
  <c r="LO45" i="1"/>
  <c r="LN45" i="1"/>
  <c r="JA45" i="1"/>
  <c r="HQ45" i="1"/>
  <c r="HP45" i="1"/>
  <c r="HO45" i="1"/>
  <c r="HN45" i="1"/>
  <c r="HM45" i="1"/>
  <c r="HL45" i="1"/>
  <c r="GZ45" i="1"/>
  <c r="GY45" i="1"/>
  <c r="GN45" i="1"/>
  <c r="GK45" i="1"/>
  <c r="GD45" i="1"/>
  <c r="FY45" i="1"/>
  <c r="FS45" i="1"/>
  <c r="FN45" i="1"/>
  <c r="FH45" i="1"/>
  <c r="FC45" i="1"/>
  <c r="ES45" i="1"/>
  <c r="EI45" i="1"/>
  <c r="DY45" i="1"/>
  <c r="DO45" i="1"/>
  <c r="DE45" i="1"/>
  <c r="CU45" i="1"/>
  <c r="CK45" i="1"/>
  <c r="CC45" i="1"/>
  <c r="BS45" i="1"/>
  <c r="BM45" i="1"/>
  <c r="BL45" i="1"/>
  <c r="BJ45" i="1"/>
  <c r="BF45" i="1"/>
  <c r="BE45" i="1"/>
  <c r="AO45" i="1"/>
  <c r="AM45" i="1"/>
  <c r="AL45" i="1"/>
  <c r="NE44" i="1"/>
  <c r="ND44" i="1"/>
  <c r="NB44" i="1"/>
  <c r="NA44" i="1"/>
  <c r="MX44" i="1"/>
  <c r="MY44" i="1" s="1"/>
  <c r="MV44" i="1"/>
  <c r="MU44" i="1"/>
  <c r="MS44" i="1"/>
  <c r="MR44" i="1"/>
  <c r="MP44" i="1"/>
  <c r="MO44" i="1"/>
  <c r="MM44" i="1"/>
  <c r="ML44" i="1"/>
  <c r="MJ44" i="1"/>
  <c r="MI44" i="1"/>
  <c r="MG44" i="1"/>
  <c r="MF44" i="1"/>
  <c r="MD44" i="1"/>
  <c r="MC44" i="1"/>
  <c r="MA44" i="1"/>
  <c r="LZ44" i="1"/>
  <c r="LX44" i="1"/>
  <c r="LW44" i="1"/>
  <c r="LU44" i="1"/>
  <c r="LT44" i="1"/>
  <c r="LR44" i="1"/>
  <c r="LQ44" i="1"/>
  <c r="LO44" i="1"/>
  <c r="LN44" i="1"/>
  <c r="JQ44" i="1"/>
  <c r="JP44" i="1"/>
  <c r="JA44" i="1"/>
  <c r="HQ44" i="1"/>
  <c r="HP44" i="1"/>
  <c r="HO44" i="1"/>
  <c r="HN44" i="1"/>
  <c r="HM44" i="1"/>
  <c r="HL44" i="1"/>
  <c r="GZ44" i="1"/>
  <c r="GY44" i="1"/>
  <c r="GN44" i="1"/>
  <c r="GK44" i="1"/>
  <c r="GD44" i="1"/>
  <c r="FY44" i="1"/>
  <c r="FS44" i="1"/>
  <c r="FN44" i="1"/>
  <c r="FH44" i="1"/>
  <c r="FC44" i="1"/>
  <c r="ES44" i="1"/>
  <c r="EI44" i="1"/>
  <c r="DY44" i="1"/>
  <c r="DO44" i="1"/>
  <c r="DE44" i="1"/>
  <c r="CU44" i="1"/>
  <c r="CK44" i="1"/>
  <c r="CC44" i="1"/>
  <c r="BS44" i="1"/>
  <c r="BM44" i="1"/>
  <c r="BL44" i="1"/>
  <c r="BJ44" i="1"/>
  <c r="BF44" i="1"/>
  <c r="BE44" i="1"/>
  <c r="AO44" i="1"/>
  <c r="AM44" i="1"/>
  <c r="AL44" i="1"/>
  <c r="NE43" i="1"/>
  <c r="ND43" i="1"/>
  <c r="NB43" i="1"/>
  <c r="NA43" i="1"/>
  <c r="MX43" i="1"/>
  <c r="MY43" i="1" s="1"/>
  <c r="MV43" i="1"/>
  <c r="MU43" i="1"/>
  <c r="MS43" i="1"/>
  <c r="MR43" i="1"/>
  <c r="MP43" i="1"/>
  <c r="MO43" i="1"/>
  <c r="MM43" i="1"/>
  <c r="ML43" i="1"/>
  <c r="MJ43" i="1"/>
  <c r="MI43" i="1"/>
  <c r="MG43" i="1"/>
  <c r="MF43" i="1"/>
  <c r="MD43" i="1"/>
  <c r="MC43" i="1"/>
  <c r="MA43" i="1"/>
  <c r="LZ43" i="1"/>
  <c r="LX43" i="1"/>
  <c r="LW43" i="1"/>
  <c r="LU43" i="1"/>
  <c r="LT43" i="1"/>
  <c r="LR43" i="1"/>
  <c r="LQ43" i="1"/>
  <c r="LO43" i="1"/>
  <c r="LN43" i="1"/>
  <c r="JP43" i="1"/>
  <c r="JA43" i="1"/>
  <c r="HP43" i="1"/>
  <c r="HO43" i="1"/>
  <c r="HM43" i="1"/>
  <c r="HL43" i="1"/>
  <c r="GN43" i="1"/>
  <c r="GK43" i="1"/>
  <c r="GD43" i="1"/>
  <c r="FY43" i="1"/>
  <c r="FS43" i="1"/>
  <c r="FN43" i="1"/>
  <c r="FH43" i="1"/>
  <c r="FC43" i="1"/>
  <c r="ES43" i="1"/>
  <c r="EI43" i="1"/>
  <c r="DY43" i="1"/>
  <c r="DO43" i="1"/>
  <c r="DE43" i="1"/>
  <c r="CU43" i="1"/>
  <c r="CK43" i="1"/>
  <c r="CC43" i="1"/>
  <c r="BS43" i="1"/>
  <c r="BM43" i="1"/>
  <c r="BL43" i="1"/>
  <c r="BJ43" i="1"/>
  <c r="BF43" i="1"/>
  <c r="BE43" i="1"/>
  <c r="AO43" i="1"/>
  <c r="AM43" i="1"/>
  <c r="AL43" i="1"/>
  <c r="NE42" i="1"/>
  <c r="ND42" i="1"/>
  <c r="NB42" i="1"/>
  <c r="NA42" i="1"/>
  <c r="MX42" i="1"/>
  <c r="MY42" i="1" s="1"/>
  <c r="MV42" i="1"/>
  <c r="MU42" i="1"/>
  <c r="MS42" i="1"/>
  <c r="MR42" i="1"/>
  <c r="MP42" i="1"/>
  <c r="MO42" i="1"/>
  <c r="MM42" i="1"/>
  <c r="ML42" i="1"/>
  <c r="MJ42" i="1"/>
  <c r="MI42" i="1"/>
  <c r="MG42" i="1"/>
  <c r="MF42" i="1"/>
  <c r="MD42" i="1"/>
  <c r="MC42" i="1"/>
  <c r="MA42" i="1"/>
  <c r="LZ42" i="1"/>
  <c r="LX42" i="1"/>
  <c r="LW42" i="1"/>
  <c r="LU42" i="1"/>
  <c r="LT42" i="1"/>
  <c r="LR42" i="1"/>
  <c r="LQ42" i="1"/>
  <c r="LO42" i="1"/>
  <c r="LN42" i="1"/>
  <c r="JP42" i="1"/>
  <c r="JB42" i="1"/>
  <c r="JA42" i="1"/>
  <c r="HP42" i="1"/>
  <c r="HO42" i="1"/>
  <c r="HM42" i="1"/>
  <c r="HL42" i="1"/>
  <c r="GZ42" i="1"/>
  <c r="GY42" i="1"/>
  <c r="GN42" i="1"/>
  <c r="GK42" i="1"/>
  <c r="GD42" i="1"/>
  <c r="FY42" i="1"/>
  <c r="FS42" i="1"/>
  <c r="FN42" i="1"/>
  <c r="FH42" i="1"/>
  <c r="FC42" i="1"/>
  <c r="ES42" i="1"/>
  <c r="EI42" i="1"/>
  <c r="DY42" i="1"/>
  <c r="DO42" i="1"/>
  <c r="DE42" i="1"/>
  <c r="CU42" i="1"/>
  <c r="CK42" i="1"/>
  <c r="CC42" i="1"/>
  <c r="BS42" i="1"/>
  <c r="BM42" i="1"/>
  <c r="BL42" i="1"/>
  <c r="BJ42" i="1"/>
  <c r="BF42" i="1"/>
  <c r="BE42" i="1"/>
  <c r="AO42" i="1"/>
  <c r="AM42" i="1"/>
  <c r="AL42" i="1"/>
  <c r="NE41" i="1"/>
  <c r="ND41" i="1"/>
  <c r="NB41" i="1"/>
  <c r="NA41" i="1"/>
  <c r="MX41" i="1"/>
  <c r="MY41" i="1" s="1"/>
  <c r="MV41" i="1"/>
  <c r="MU41" i="1"/>
  <c r="MS41" i="1"/>
  <c r="MR41" i="1"/>
  <c r="MP41" i="1"/>
  <c r="MO41" i="1"/>
  <c r="MM41" i="1"/>
  <c r="ML41" i="1"/>
  <c r="MJ41" i="1"/>
  <c r="MI41" i="1"/>
  <c r="MG41" i="1"/>
  <c r="MF41" i="1"/>
  <c r="MD41" i="1"/>
  <c r="MC41" i="1"/>
  <c r="MA41" i="1"/>
  <c r="LZ41" i="1"/>
  <c r="LX41" i="1"/>
  <c r="LW41" i="1"/>
  <c r="LU41" i="1"/>
  <c r="LT41" i="1"/>
  <c r="LR41" i="1"/>
  <c r="LQ41" i="1"/>
  <c r="LO41" i="1"/>
  <c r="LN41" i="1"/>
  <c r="JP41" i="1"/>
  <c r="JA41" i="1"/>
  <c r="HP41" i="1"/>
  <c r="HM41" i="1"/>
  <c r="GN41" i="1"/>
  <c r="GK41" i="1"/>
  <c r="GD41" i="1"/>
  <c r="FY41" i="1"/>
  <c r="FS41" i="1"/>
  <c r="FN41" i="1"/>
  <c r="FH41" i="1"/>
  <c r="FC41" i="1"/>
  <c r="ES41" i="1"/>
  <c r="EI41" i="1"/>
  <c r="DY41" i="1"/>
  <c r="DO41" i="1"/>
  <c r="DE41" i="1"/>
  <c r="CU41" i="1"/>
  <c r="CK41" i="1"/>
  <c r="CC41" i="1"/>
  <c r="BS41" i="1"/>
  <c r="BM41" i="1"/>
  <c r="BL41" i="1"/>
  <c r="BJ41" i="1"/>
  <c r="BF41" i="1"/>
  <c r="BE41" i="1"/>
  <c r="AO41" i="1"/>
  <c r="AM41" i="1"/>
  <c r="AL41" i="1"/>
  <c r="NE40" i="1"/>
  <c r="ND40" i="1"/>
  <c r="NB40" i="1"/>
  <c r="NA40" i="1"/>
  <c r="MY40" i="1"/>
  <c r="MX40" i="1"/>
  <c r="MU40" i="1"/>
  <c r="MV40" i="1" s="1"/>
  <c r="MS40" i="1"/>
  <c r="MR40" i="1"/>
  <c r="MP40" i="1"/>
  <c r="MO40" i="1"/>
  <c r="MM40" i="1"/>
  <c r="ML40" i="1"/>
  <c r="MJ40" i="1"/>
  <c r="MI40" i="1"/>
  <c r="MG40" i="1"/>
  <c r="MF40" i="1"/>
  <c r="MD40" i="1"/>
  <c r="MC40" i="1"/>
  <c r="MA40" i="1"/>
  <c r="LZ40" i="1"/>
  <c r="LX40" i="1"/>
  <c r="LW40" i="1"/>
  <c r="LU40" i="1"/>
  <c r="LT40" i="1"/>
  <c r="LR40" i="1"/>
  <c r="LQ40" i="1"/>
  <c r="LO40" i="1"/>
  <c r="LN40" i="1"/>
  <c r="JP40" i="1"/>
  <c r="JA40" i="1"/>
  <c r="HQ40" i="1"/>
  <c r="HP40" i="1"/>
  <c r="HO40" i="1"/>
  <c r="HN40" i="1"/>
  <c r="HM40" i="1"/>
  <c r="HL40" i="1"/>
  <c r="GZ40" i="1"/>
  <c r="GY40" i="1"/>
  <c r="GN40" i="1"/>
  <c r="GK40" i="1"/>
  <c r="GD40" i="1"/>
  <c r="FY40" i="1"/>
  <c r="FS40" i="1"/>
  <c r="FN40" i="1"/>
  <c r="FH40" i="1"/>
  <c r="FC40" i="1"/>
  <c r="ES40" i="1"/>
  <c r="EI40" i="1"/>
  <c r="DY40" i="1"/>
  <c r="DO40" i="1"/>
  <c r="DE40" i="1"/>
  <c r="CU40" i="1"/>
  <c r="CK40" i="1"/>
  <c r="CC40" i="1"/>
  <c r="BS40" i="1"/>
  <c r="BM40" i="1"/>
  <c r="BL40" i="1"/>
  <c r="BJ40" i="1"/>
  <c r="BF40" i="1"/>
  <c r="BE40" i="1"/>
  <c r="AO40" i="1"/>
  <c r="AL40" i="1"/>
  <c r="NE39" i="1"/>
  <c r="ND39" i="1"/>
  <c r="NB39" i="1"/>
  <c r="NA39" i="1"/>
  <c r="MY39" i="1"/>
  <c r="MX39" i="1"/>
  <c r="MU39" i="1"/>
  <c r="MV39" i="1" s="1"/>
  <c r="MS39" i="1"/>
  <c r="MR39" i="1"/>
  <c r="MP39" i="1"/>
  <c r="MO39" i="1"/>
  <c r="MM39" i="1"/>
  <c r="ML39" i="1"/>
  <c r="MJ39" i="1"/>
  <c r="MI39" i="1"/>
  <c r="MG39" i="1"/>
  <c r="MF39" i="1"/>
  <c r="MD39" i="1"/>
  <c r="MC39" i="1"/>
  <c r="MA39" i="1"/>
  <c r="LZ39" i="1"/>
  <c r="LX39" i="1"/>
  <c r="LW39" i="1"/>
  <c r="LU39" i="1"/>
  <c r="LT39" i="1"/>
  <c r="LR39" i="1"/>
  <c r="LQ39" i="1"/>
  <c r="LO39" i="1"/>
  <c r="LN39" i="1"/>
  <c r="JQ39" i="1"/>
  <c r="JP39" i="1"/>
  <c r="JA39" i="1"/>
  <c r="HN39" i="1"/>
  <c r="HM39" i="1"/>
  <c r="GN39" i="1"/>
  <c r="GK39" i="1"/>
  <c r="GD39" i="1"/>
  <c r="FY39" i="1"/>
  <c r="FS39" i="1"/>
  <c r="FN39" i="1"/>
  <c r="FH39" i="1"/>
  <c r="FC39" i="1"/>
  <c r="ES39" i="1"/>
  <c r="EI39" i="1"/>
  <c r="DY39" i="1"/>
  <c r="DO39" i="1"/>
  <c r="DE39" i="1"/>
  <c r="CU39" i="1"/>
  <c r="CK39" i="1"/>
  <c r="CC39" i="1"/>
  <c r="BS39" i="1"/>
  <c r="BM39" i="1"/>
  <c r="BL39" i="1"/>
  <c r="BJ39" i="1"/>
  <c r="BF39" i="1"/>
  <c r="BE39" i="1"/>
  <c r="AO39" i="1"/>
  <c r="AM39" i="1"/>
  <c r="AL39" i="1"/>
  <c r="NE38" i="1"/>
  <c r="ND38" i="1"/>
  <c r="NB38" i="1"/>
  <c r="NA38" i="1"/>
  <c r="MY38" i="1"/>
  <c r="MX38" i="1"/>
  <c r="MU38" i="1"/>
  <c r="MV38" i="1" s="1"/>
  <c r="MS38" i="1"/>
  <c r="MR38" i="1"/>
  <c r="MP38" i="1"/>
  <c r="MO38" i="1"/>
  <c r="MM38" i="1"/>
  <c r="ML38" i="1"/>
  <c r="MJ38" i="1"/>
  <c r="MI38" i="1"/>
  <c r="MG38" i="1"/>
  <c r="MF38" i="1"/>
  <c r="MD38" i="1"/>
  <c r="MC38" i="1"/>
  <c r="MA38" i="1"/>
  <c r="LZ38" i="1"/>
  <c r="LX38" i="1"/>
  <c r="LW38" i="1"/>
  <c r="LU38" i="1"/>
  <c r="LT38" i="1"/>
  <c r="LR38" i="1"/>
  <c r="LQ38" i="1"/>
  <c r="LO38" i="1"/>
  <c r="LN38" i="1"/>
  <c r="JP38" i="1"/>
  <c r="JA38" i="1"/>
  <c r="HN38" i="1"/>
  <c r="HM38" i="1"/>
  <c r="GZ38" i="1"/>
  <c r="GY38" i="1"/>
  <c r="GN38" i="1"/>
  <c r="GK38" i="1"/>
  <c r="GD38" i="1"/>
  <c r="FY38" i="1"/>
  <c r="FS38" i="1"/>
  <c r="FN38" i="1"/>
  <c r="FH38" i="1"/>
  <c r="FC38" i="1"/>
  <c r="ES38" i="1"/>
  <c r="EI38" i="1"/>
  <c r="DY38" i="1"/>
  <c r="DO38" i="1"/>
  <c r="DE38" i="1"/>
  <c r="CU38" i="1"/>
  <c r="CK38" i="1"/>
  <c r="CC38" i="1"/>
  <c r="BS38" i="1"/>
  <c r="BM38" i="1"/>
  <c r="BL38" i="1"/>
  <c r="BJ38" i="1"/>
  <c r="BF38" i="1"/>
  <c r="BE38" i="1"/>
  <c r="AO38" i="1"/>
  <c r="AM38" i="1"/>
  <c r="AL38" i="1"/>
  <c r="NE37" i="1"/>
  <c r="ND37" i="1"/>
  <c r="NB37" i="1"/>
  <c r="NA37" i="1"/>
  <c r="MY37" i="1"/>
  <c r="MX37" i="1"/>
  <c r="MV37" i="1"/>
  <c r="MU37" i="1"/>
  <c r="MR37" i="1"/>
  <c r="MS37" i="1" s="1"/>
  <c r="MP37" i="1"/>
  <c r="MO37" i="1"/>
  <c r="MM37" i="1"/>
  <c r="ML37" i="1"/>
  <c r="MJ37" i="1"/>
  <c r="MI37" i="1"/>
  <c r="MG37" i="1"/>
  <c r="MF37" i="1"/>
  <c r="MD37" i="1"/>
  <c r="MC37" i="1"/>
  <c r="MA37" i="1"/>
  <c r="LZ37" i="1"/>
  <c r="LX37" i="1"/>
  <c r="LW37" i="1"/>
  <c r="LU37" i="1"/>
  <c r="LT37" i="1"/>
  <c r="LR37" i="1"/>
  <c r="LQ37" i="1"/>
  <c r="LO37" i="1"/>
  <c r="LN37" i="1"/>
  <c r="JP37" i="1"/>
  <c r="JA37" i="1"/>
  <c r="HP37" i="1"/>
  <c r="HM37" i="1"/>
  <c r="GZ37" i="1"/>
  <c r="GY37" i="1"/>
  <c r="GN37" i="1"/>
  <c r="GK37" i="1"/>
  <c r="GD37" i="1"/>
  <c r="FY37" i="1"/>
  <c r="FS37" i="1"/>
  <c r="FN37" i="1"/>
  <c r="FH37" i="1"/>
  <c r="FC37" i="1"/>
  <c r="ES37" i="1"/>
  <c r="EI37" i="1"/>
  <c r="DY37" i="1"/>
  <c r="DO37" i="1"/>
  <c r="DE37" i="1"/>
  <c r="CU37" i="1"/>
  <c r="CK37" i="1"/>
  <c r="CC37" i="1"/>
  <c r="BS37" i="1"/>
  <c r="BM37" i="1"/>
  <c r="BL37" i="1"/>
  <c r="BJ37" i="1"/>
  <c r="BF37" i="1"/>
  <c r="BE37" i="1"/>
  <c r="AO37" i="1"/>
  <c r="AM37" i="1"/>
  <c r="AL37" i="1"/>
  <c r="NE36" i="1"/>
  <c r="ND36" i="1"/>
  <c r="NB36" i="1"/>
  <c r="NA36" i="1"/>
  <c r="MY36" i="1"/>
  <c r="MX36" i="1"/>
  <c r="MV36" i="1"/>
  <c r="MU36" i="1"/>
  <c r="MR36" i="1"/>
  <c r="MS36" i="1" s="1"/>
  <c r="MP36" i="1"/>
  <c r="MO36" i="1"/>
  <c r="MM36" i="1"/>
  <c r="ML36" i="1"/>
  <c r="MJ36" i="1"/>
  <c r="MI36" i="1"/>
  <c r="MG36" i="1"/>
  <c r="MF36" i="1"/>
  <c r="MD36" i="1"/>
  <c r="MC36" i="1"/>
  <c r="MA36" i="1"/>
  <c r="LZ36" i="1"/>
  <c r="LX36" i="1"/>
  <c r="LW36" i="1"/>
  <c r="LU36" i="1"/>
  <c r="LT36" i="1"/>
  <c r="LR36" i="1"/>
  <c r="LQ36" i="1"/>
  <c r="LO36" i="1"/>
  <c r="LN36" i="1"/>
  <c r="JQ36" i="1"/>
  <c r="JP36" i="1"/>
  <c r="GK36" i="1"/>
  <c r="NE35" i="1"/>
  <c r="ND35" i="1"/>
  <c r="NB35" i="1"/>
  <c r="NA35" i="1"/>
  <c r="MY35" i="1"/>
  <c r="MX35" i="1"/>
  <c r="MV35" i="1"/>
  <c r="MU35" i="1"/>
  <c r="MR35" i="1"/>
  <c r="MS35" i="1" s="1"/>
  <c r="MP35" i="1"/>
  <c r="MO35" i="1"/>
  <c r="MM35" i="1"/>
  <c r="ML35" i="1"/>
  <c r="MJ35" i="1"/>
  <c r="MI35" i="1"/>
  <c r="MG35" i="1"/>
  <c r="MF35" i="1"/>
  <c r="MD35" i="1"/>
  <c r="MC35" i="1"/>
  <c r="MA35" i="1"/>
  <c r="LZ35" i="1"/>
  <c r="LX35" i="1"/>
  <c r="LW35" i="1"/>
  <c r="LU35" i="1"/>
  <c r="LT35" i="1"/>
  <c r="LR35" i="1"/>
  <c r="LQ35" i="1"/>
  <c r="LO35" i="1"/>
  <c r="LN35" i="1"/>
  <c r="JP35" i="1"/>
  <c r="JA35" i="1"/>
  <c r="HP35" i="1"/>
  <c r="HO35" i="1"/>
  <c r="HM35" i="1"/>
  <c r="HL35" i="1"/>
  <c r="GZ35" i="1"/>
  <c r="GY35" i="1"/>
  <c r="GN35" i="1"/>
  <c r="GK35" i="1"/>
  <c r="GD35" i="1"/>
  <c r="FY35" i="1"/>
  <c r="FS35" i="1"/>
  <c r="FN35" i="1"/>
  <c r="FH35" i="1"/>
  <c r="FC35" i="1"/>
  <c r="ES35" i="1"/>
  <c r="EI35" i="1"/>
  <c r="DY35" i="1"/>
  <c r="DO35" i="1"/>
  <c r="DE35" i="1"/>
  <c r="CU35" i="1"/>
  <c r="CK35" i="1"/>
  <c r="CC35" i="1"/>
  <c r="BS35" i="1"/>
  <c r="BM35" i="1"/>
  <c r="BL35" i="1"/>
  <c r="BJ35" i="1"/>
  <c r="BF35" i="1"/>
  <c r="BE35" i="1"/>
  <c r="AO35" i="1"/>
  <c r="AM35" i="1"/>
  <c r="AL35" i="1"/>
  <c r="NE34" i="1"/>
  <c r="ND34" i="1"/>
  <c r="NB34" i="1"/>
  <c r="NA34" i="1"/>
  <c r="MY34" i="1"/>
  <c r="MX34" i="1"/>
  <c r="MV34" i="1"/>
  <c r="MU34" i="1"/>
  <c r="MR34" i="1"/>
  <c r="MS34" i="1" s="1"/>
  <c r="MP34" i="1"/>
  <c r="MO34" i="1"/>
  <c r="MM34" i="1"/>
  <c r="ML34" i="1"/>
  <c r="MJ34" i="1"/>
  <c r="MI34" i="1"/>
  <c r="MG34" i="1"/>
  <c r="MF34" i="1"/>
  <c r="MD34" i="1"/>
  <c r="MC34" i="1"/>
  <c r="MA34" i="1"/>
  <c r="LZ34" i="1"/>
  <c r="LX34" i="1"/>
  <c r="LW34" i="1"/>
  <c r="LU34" i="1"/>
  <c r="LT34" i="1"/>
  <c r="LR34" i="1"/>
  <c r="LQ34" i="1"/>
  <c r="LO34" i="1"/>
  <c r="LN34" i="1"/>
  <c r="JP34" i="1"/>
  <c r="JA34" i="1"/>
  <c r="HP34" i="1"/>
  <c r="HO34" i="1"/>
  <c r="HM34" i="1"/>
  <c r="HL34" i="1"/>
  <c r="GZ34" i="1"/>
  <c r="GY34" i="1"/>
  <c r="GN34" i="1"/>
  <c r="GK34" i="1"/>
  <c r="GD34" i="1"/>
  <c r="FY34" i="1"/>
  <c r="FS34" i="1"/>
  <c r="FN34" i="1"/>
  <c r="FH34" i="1"/>
  <c r="FC34" i="1"/>
  <c r="ES34" i="1"/>
  <c r="EI34" i="1"/>
  <c r="DY34" i="1"/>
  <c r="DO34" i="1"/>
  <c r="DE34" i="1"/>
  <c r="CU34" i="1"/>
  <c r="CK34" i="1"/>
  <c r="CC34" i="1"/>
  <c r="BS34" i="1"/>
  <c r="BM34" i="1"/>
  <c r="BL34" i="1"/>
  <c r="BJ34" i="1"/>
  <c r="BF34" i="1"/>
  <c r="BE34" i="1"/>
  <c r="AO34" i="1"/>
  <c r="AM34" i="1"/>
  <c r="AL34" i="1"/>
  <c r="NE33" i="1"/>
  <c r="ND33" i="1"/>
  <c r="NB33" i="1"/>
  <c r="NA33" i="1"/>
  <c r="MY33" i="1"/>
  <c r="MX33" i="1"/>
  <c r="MV33" i="1"/>
  <c r="MU33" i="1"/>
  <c r="MS33" i="1"/>
  <c r="MR33" i="1"/>
  <c r="MO33" i="1"/>
  <c r="MP33" i="1" s="1"/>
  <c r="MM33" i="1"/>
  <c r="ML33" i="1"/>
  <c r="MJ33" i="1"/>
  <c r="MI33" i="1"/>
  <c r="MG33" i="1"/>
  <c r="MF33" i="1"/>
  <c r="MD33" i="1"/>
  <c r="MC33" i="1"/>
  <c r="MA33" i="1"/>
  <c r="LZ33" i="1"/>
  <c r="LX33" i="1"/>
  <c r="LW33" i="1"/>
  <c r="LU33" i="1"/>
  <c r="LT33" i="1"/>
  <c r="LR33" i="1"/>
  <c r="LQ33" i="1"/>
  <c r="LO33" i="1"/>
  <c r="LN33" i="1"/>
  <c r="JQ33" i="1"/>
  <c r="JP33" i="1"/>
  <c r="JA33" i="1"/>
  <c r="HQ33" i="1"/>
  <c r="HP33" i="1"/>
  <c r="HO33" i="1"/>
  <c r="HN33" i="1"/>
  <c r="HM33" i="1"/>
  <c r="HL33" i="1"/>
  <c r="GZ33" i="1"/>
  <c r="GY33" i="1"/>
  <c r="GN33" i="1"/>
  <c r="GK33" i="1"/>
  <c r="GD33" i="1"/>
  <c r="FY33" i="1"/>
  <c r="FS33" i="1"/>
  <c r="FN33" i="1"/>
  <c r="FH33" i="1"/>
  <c r="FC33" i="1"/>
  <c r="ES33" i="1"/>
  <c r="EI33" i="1"/>
  <c r="DY33" i="1"/>
  <c r="DO33" i="1"/>
  <c r="DE33" i="1"/>
  <c r="CU33" i="1"/>
  <c r="CK33" i="1"/>
  <c r="CC33" i="1"/>
  <c r="BS33" i="1"/>
  <c r="BM33" i="1"/>
  <c r="BL33" i="1"/>
  <c r="BJ33" i="1"/>
  <c r="BF33" i="1"/>
  <c r="BE33" i="1"/>
  <c r="AO33" i="1"/>
  <c r="AM33" i="1"/>
  <c r="AL33" i="1"/>
  <c r="NE32" i="1"/>
  <c r="ND32" i="1"/>
  <c r="NB32" i="1"/>
  <c r="NA32" i="1"/>
  <c r="MY32" i="1"/>
  <c r="MX32" i="1"/>
  <c r="MV32" i="1"/>
  <c r="MU32" i="1"/>
  <c r="MS32" i="1"/>
  <c r="MR32" i="1"/>
  <c r="MP32" i="1"/>
  <c r="MO32" i="1"/>
  <c r="ML32" i="1"/>
  <c r="MM32" i="1" s="1"/>
  <c r="MJ32" i="1"/>
  <c r="MI32" i="1"/>
  <c r="MG32" i="1"/>
  <c r="MF32" i="1"/>
  <c r="MD32" i="1"/>
  <c r="MC32" i="1"/>
  <c r="MA32" i="1"/>
  <c r="LZ32" i="1"/>
  <c r="LX32" i="1"/>
  <c r="LW32" i="1"/>
  <c r="LU32" i="1"/>
  <c r="LT32" i="1"/>
  <c r="LR32" i="1"/>
  <c r="LQ32" i="1"/>
  <c r="LO32" i="1"/>
  <c r="LN32" i="1"/>
  <c r="JQ32" i="1"/>
  <c r="JP32" i="1"/>
  <c r="JA32" i="1"/>
  <c r="HQ32" i="1"/>
  <c r="HP32" i="1"/>
  <c r="HO32" i="1"/>
  <c r="HN32" i="1"/>
  <c r="HM32" i="1"/>
  <c r="HL32" i="1"/>
  <c r="GZ32" i="1"/>
  <c r="GY32" i="1"/>
  <c r="GN32" i="1"/>
  <c r="GK32" i="1"/>
  <c r="GD32" i="1"/>
  <c r="FY32" i="1"/>
  <c r="FS32" i="1"/>
  <c r="FN32" i="1"/>
  <c r="FH32" i="1"/>
  <c r="FC32" i="1"/>
  <c r="ES32" i="1"/>
  <c r="EI32" i="1"/>
  <c r="DY32" i="1"/>
  <c r="DO32" i="1"/>
  <c r="DE32" i="1"/>
  <c r="CU32" i="1"/>
  <c r="CK32" i="1"/>
  <c r="CC32" i="1"/>
  <c r="BS32" i="1"/>
  <c r="BM32" i="1"/>
  <c r="BL32" i="1"/>
  <c r="BJ32" i="1"/>
  <c r="BF32" i="1"/>
  <c r="BE32" i="1"/>
  <c r="AO32" i="1"/>
  <c r="AM32" i="1"/>
  <c r="AL32" i="1"/>
  <c r="NE31" i="1"/>
  <c r="ND31" i="1"/>
  <c r="NB31" i="1"/>
  <c r="NA31" i="1"/>
  <c r="MY31" i="1"/>
  <c r="MX31" i="1"/>
  <c r="MV31" i="1"/>
  <c r="MU31" i="1"/>
  <c r="MS31" i="1"/>
  <c r="MR31" i="1"/>
  <c r="MP31" i="1"/>
  <c r="MO31" i="1"/>
  <c r="ML31" i="1"/>
  <c r="MM31" i="1" s="1"/>
  <c r="MJ31" i="1"/>
  <c r="MI31" i="1"/>
  <c r="MG31" i="1"/>
  <c r="MF31" i="1"/>
  <c r="MD31" i="1"/>
  <c r="MC31" i="1"/>
  <c r="MA31" i="1"/>
  <c r="LZ31" i="1"/>
  <c r="LX31" i="1"/>
  <c r="LW31" i="1"/>
  <c r="LU31" i="1"/>
  <c r="LT31" i="1"/>
  <c r="LR31" i="1"/>
  <c r="LQ31" i="1"/>
  <c r="LO31" i="1"/>
  <c r="LN31" i="1"/>
  <c r="JP31" i="1"/>
  <c r="JA31" i="1"/>
  <c r="HQ31" i="1"/>
  <c r="HP31" i="1"/>
  <c r="HO31" i="1"/>
  <c r="HN31" i="1"/>
  <c r="HM31" i="1"/>
  <c r="HL31" i="1"/>
  <c r="GZ31" i="1"/>
  <c r="GY31" i="1"/>
  <c r="GN31" i="1"/>
  <c r="GK31" i="1"/>
  <c r="GD31" i="1"/>
  <c r="FY31" i="1"/>
  <c r="FS31" i="1"/>
  <c r="FN31" i="1"/>
  <c r="FH31" i="1"/>
  <c r="FC31" i="1"/>
  <c r="ES31" i="1"/>
  <c r="EI31" i="1"/>
  <c r="DY31" i="1"/>
  <c r="DO31" i="1"/>
  <c r="DE31" i="1"/>
  <c r="CU31" i="1"/>
  <c r="CK31" i="1"/>
  <c r="CC31" i="1"/>
  <c r="BS31" i="1"/>
  <c r="BM31" i="1"/>
  <c r="BL31" i="1"/>
  <c r="BJ31" i="1"/>
  <c r="BF31" i="1"/>
  <c r="BE31" i="1"/>
  <c r="AO31" i="1"/>
  <c r="AL31" i="1"/>
  <c r="NE30" i="1"/>
  <c r="ND30" i="1"/>
  <c r="NB30" i="1"/>
  <c r="NA30" i="1"/>
  <c r="MY30" i="1"/>
  <c r="MX30" i="1"/>
  <c r="MV30" i="1"/>
  <c r="MU30" i="1"/>
  <c r="MS30" i="1"/>
  <c r="MR30" i="1"/>
  <c r="MP30" i="1"/>
  <c r="MO30" i="1"/>
  <c r="ML30" i="1"/>
  <c r="MM30" i="1" s="1"/>
  <c r="MJ30" i="1"/>
  <c r="MI30" i="1"/>
  <c r="MG30" i="1"/>
  <c r="MF30" i="1"/>
  <c r="MD30" i="1"/>
  <c r="MC30" i="1"/>
  <c r="MA30" i="1"/>
  <c r="LZ30" i="1"/>
  <c r="LX30" i="1"/>
  <c r="LW30" i="1"/>
  <c r="LU30" i="1"/>
  <c r="LT30" i="1"/>
  <c r="LR30" i="1"/>
  <c r="LQ30" i="1"/>
  <c r="LO30" i="1"/>
  <c r="LN30" i="1"/>
  <c r="JP30" i="1"/>
  <c r="JA30" i="1"/>
  <c r="HQ30" i="1"/>
  <c r="HP30" i="1"/>
  <c r="HO30" i="1"/>
  <c r="HN30" i="1"/>
  <c r="HM30" i="1"/>
  <c r="HL30" i="1"/>
  <c r="GZ30" i="1"/>
  <c r="GY30" i="1"/>
  <c r="GN30" i="1"/>
  <c r="GK30" i="1"/>
  <c r="GD30" i="1"/>
  <c r="FY30" i="1"/>
  <c r="FS30" i="1"/>
  <c r="FN30" i="1"/>
  <c r="FH30" i="1"/>
  <c r="FC30" i="1"/>
  <c r="ES30" i="1"/>
  <c r="EI30" i="1"/>
  <c r="DY30" i="1"/>
  <c r="DO30" i="1"/>
  <c r="DE30" i="1"/>
  <c r="CU30" i="1"/>
  <c r="CK30" i="1"/>
  <c r="CC30" i="1"/>
  <c r="BS30" i="1"/>
  <c r="BM30" i="1"/>
  <c r="BL30" i="1"/>
  <c r="BJ30" i="1"/>
  <c r="BF30" i="1"/>
  <c r="BE30" i="1"/>
  <c r="AO30" i="1"/>
  <c r="AM30" i="1"/>
  <c r="AL30" i="1"/>
  <c r="NE29" i="1"/>
  <c r="ND29" i="1"/>
  <c r="NB29" i="1"/>
  <c r="NA29" i="1"/>
  <c r="MY29" i="1"/>
  <c r="MX29" i="1"/>
  <c r="MV29" i="1"/>
  <c r="MU29" i="1"/>
  <c r="MS29" i="1"/>
  <c r="MR29" i="1"/>
  <c r="MP29" i="1"/>
  <c r="MO29" i="1"/>
  <c r="MM29" i="1"/>
  <c r="ML29" i="1"/>
  <c r="MI29" i="1"/>
  <c r="MJ29" i="1" s="1"/>
  <c r="MG29" i="1"/>
  <c r="MF29" i="1"/>
  <c r="MD29" i="1"/>
  <c r="MC29" i="1"/>
  <c r="MA29" i="1"/>
  <c r="LZ29" i="1"/>
  <c r="LX29" i="1"/>
  <c r="LW29" i="1"/>
  <c r="LU29" i="1"/>
  <c r="LT29" i="1"/>
  <c r="LR29" i="1"/>
  <c r="LQ29" i="1"/>
  <c r="LO29" i="1"/>
  <c r="LN29" i="1"/>
  <c r="JP29" i="1"/>
  <c r="JA29" i="1"/>
  <c r="HQ29" i="1"/>
  <c r="HP29" i="1"/>
  <c r="HO29" i="1"/>
  <c r="HN29" i="1"/>
  <c r="HM29" i="1"/>
  <c r="HL29" i="1"/>
  <c r="GZ29" i="1"/>
  <c r="GY29" i="1"/>
  <c r="GN29" i="1"/>
  <c r="GK29" i="1"/>
  <c r="GD29" i="1"/>
  <c r="FY29" i="1"/>
  <c r="FS29" i="1"/>
  <c r="FN29" i="1"/>
  <c r="FH29" i="1"/>
  <c r="FC29" i="1"/>
  <c r="ES29" i="1"/>
  <c r="EI29" i="1"/>
  <c r="DY29" i="1"/>
  <c r="DO29" i="1"/>
  <c r="DE29" i="1"/>
  <c r="CU29" i="1"/>
  <c r="CK29" i="1"/>
  <c r="CC29" i="1"/>
  <c r="BS29" i="1"/>
  <c r="BM29" i="1"/>
  <c r="BL29" i="1"/>
  <c r="BJ29" i="1"/>
  <c r="BF29" i="1"/>
  <c r="BE29" i="1"/>
  <c r="AO29" i="1"/>
  <c r="AM29" i="1"/>
  <c r="AL29" i="1"/>
  <c r="NE28" i="1"/>
  <c r="ND28" i="1"/>
  <c r="NB28" i="1"/>
  <c r="NA28" i="1"/>
  <c r="MY28" i="1"/>
  <c r="MX28" i="1"/>
  <c r="MV28" i="1"/>
  <c r="MU28" i="1"/>
  <c r="MS28" i="1"/>
  <c r="MR28" i="1"/>
  <c r="MP28" i="1"/>
  <c r="MO28" i="1"/>
  <c r="MM28" i="1"/>
  <c r="ML28" i="1"/>
  <c r="MI28" i="1"/>
  <c r="MJ28" i="1" s="1"/>
  <c r="MG28" i="1"/>
  <c r="MF28" i="1"/>
  <c r="MD28" i="1"/>
  <c r="MC28" i="1"/>
  <c r="MA28" i="1"/>
  <c r="LZ28" i="1"/>
  <c r="LX28" i="1"/>
  <c r="LW28" i="1"/>
  <c r="LU28" i="1"/>
  <c r="LT28" i="1"/>
  <c r="LR28" i="1"/>
  <c r="LQ28" i="1"/>
  <c r="LO28" i="1"/>
  <c r="LN28" i="1"/>
  <c r="JP28" i="1"/>
  <c r="JA28" i="1"/>
  <c r="HN28" i="1"/>
  <c r="HM28" i="1"/>
  <c r="GN28" i="1"/>
  <c r="GK28" i="1"/>
  <c r="GD28" i="1"/>
  <c r="FY28" i="1"/>
  <c r="FS28" i="1"/>
  <c r="FN28" i="1"/>
  <c r="FH28" i="1"/>
  <c r="FC28" i="1"/>
  <c r="ES28" i="1"/>
  <c r="EI28" i="1"/>
  <c r="DY28" i="1"/>
  <c r="DO28" i="1"/>
  <c r="DE28" i="1"/>
  <c r="CU28" i="1"/>
  <c r="CK28" i="1"/>
  <c r="CC28" i="1"/>
  <c r="BS28" i="1"/>
  <c r="BM28" i="1"/>
  <c r="BL28" i="1"/>
  <c r="BJ28" i="1"/>
  <c r="BF28" i="1"/>
  <c r="BE28" i="1"/>
  <c r="AO28" i="1"/>
  <c r="AM28" i="1"/>
  <c r="AL28" i="1"/>
  <c r="NE27" i="1"/>
  <c r="ND27" i="1"/>
  <c r="NB27" i="1"/>
  <c r="NA27" i="1"/>
  <c r="MY27" i="1"/>
  <c r="MX27" i="1"/>
  <c r="MV27" i="1"/>
  <c r="MU27" i="1"/>
  <c r="MS27" i="1"/>
  <c r="MR27" i="1"/>
  <c r="MP27" i="1"/>
  <c r="MO27" i="1"/>
  <c r="MM27" i="1"/>
  <c r="ML27" i="1"/>
  <c r="MJ27" i="1"/>
  <c r="MI27" i="1"/>
  <c r="MF27" i="1"/>
  <c r="MG27" i="1" s="1"/>
  <c r="MD27" i="1"/>
  <c r="MC27" i="1"/>
  <c r="MA27" i="1"/>
  <c r="LZ27" i="1"/>
  <c r="LX27" i="1"/>
  <c r="LW27" i="1"/>
  <c r="LU27" i="1"/>
  <c r="LT27" i="1"/>
  <c r="LR27" i="1"/>
  <c r="LQ27" i="1"/>
  <c r="LO27" i="1"/>
  <c r="LN27" i="1"/>
  <c r="JQ27" i="1"/>
  <c r="JP27" i="1"/>
  <c r="JA27" i="1"/>
  <c r="HP27" i="1"/>
  <c r="HM27" i="1"/>
  <c r="GN27" i="1"/>
  <c r="GK27" i="1"/>
  <c r="GD27" i="1"/>
  <c r="FY27" i="1"/>
  <c r="FS27" i="1"/>
  <c r="FN27" i="1"/>
  <c r="FH27" i="1"/>
  <c r="FC27" i="1"/>
  <c r="ES27" i="1"/>
  <c r="EI27" i="1"/>
  <c r="DY27" i="1"/>
  <c r="DO27" i="1"/>
  <c r="DE27" i="1"/>
  <c r="CU27" i="1"/>
  <c r="CK27" i="1"/>
  <c r="CC27" i="1"/>
  <c r="BS27" i="1"/>
  <c r="BM27" i="1"/>
  <c r="BL27" i="1"/>
  <c r="BJ27" i="1"/>
  <c r="BF27" i="1"/>
  <c r="BE27" i="1"/>
  <c r="AO27" i="1"/>
  <c r="AM27" i="1"/>
  <c r="AL27" i="1"/>
  <c r="NE26" i="1"/>
  <c r="ND26" i="1"/>
  <c r="NB26" i="1"/>
  <c r="NA26" i="1"/>
  <c r="MY26" i="1"/>
  <c r="MX26" i="1"/>
  <c r="MV26" i="1"/>
  <c r="MU26" i="1"/>
  <c r="MS26" i="1"/>
  <c r="MR26" i="1"/>
  <c r="MP26" i="1"/>
  <c r="MO26" i="1"/>
  <c r="MM26" i="1"/>
  <c r="ML26" i="1"/>
  <c r="MJ26" i="1"/>
  <c r="MI26" i="1"/>
  <c r="MF26" i="1"/>
  <c r="MG26" i="1" s="1"/>
  <c r="MD26" i="1"/>
  <c r="MC26" i="1"/>
  <c r="MA26" i="1"/>
  <c r="LZ26" i="1"/>
  <c r="LX26" i="1"/>
  <c r="LW26" i="1"/>
  <c r="LU26" i="1"/>
  <c r="LT26" i="1"/>
  <c r="LR26" i="1"/>
  <c r="LQ26" i="1"/>
  <c r="LO26" i="1"/>
  <c r="LN26" i="1"/>
  <c r="JP26" i="1"/>
  <c r="JA26" i="1"/>
  <c r="HQ26" i="1"/>
  <c r="HP26" i="1"/>
  <c r="HO26" i="1"/>
  <c r="HN26" i="1"/>
  <c r="HM26" i="1"/>
  <c r="HL26" i="1"/>
  <c r="GZ26" i="1"/>
  <c r="GY26" i="1"/>
  <c r="GN26" i="1"/>
  <c r="GK26" i="1"/>
  <c r="GD26" i="1"/>
  <c r="FY26" i="1"/>
  <c r="FS26" i="1"/>
  <c r="FN26" i="1"/>
  <c r="FH26" i="1"/>
  <c r="FC26" i="1"/>
  <c r="ES26" i="1"/>
  <c r="EI26" i="1"/>
  <c r="DY26" i="1"/>
  <c r="DO26" i="1"/>
  <c r="DE26" i="1"/>
  <c r="CU26" i="1"/>
  <c r="CK26" i="1"/>
  <c r="CC26" i="1"/>
  <c r="BS26" i="1"/>
  <c r="BM26" i="1"/>
  <c r="BL26" i="1"/>
  <c r="BJ26" i="1"/>
  <c r="BF26" i="1"/>
  <c r="BE26" i="1"/>
  <c r="AO26" i="1"/>
  <c r="AM26" i="1"/>
  <c r="AL26" i="1"/>
  <c r="NE25" i="1"/>
  <c r="ND25" i="1"/>
  <c r="NB25" i="1"/>
  <c r="NA25" i="1"/>
  <c r="MY25" i="1"/>
  <c r="MX25" i="1"/>
  <c r="MV25" i="1"/>
  <c r="MU25" i="1"/>
  <c r="MS25" i="1"/>
  <c r="MR25" i="1"/>
  <c r="MP25" i="1"/>
  <c r="MO25" i="1"/>
  <c r="MM25" i="1"/>
  <c r="ML25" i="1"/>
  <c r="MJ25" i="1"/>
  <c r="MI25" i="1"/>
  <c r="MF25" i="1"/>
  <c r="MG25" i="1" s="1"/>
  <c r="MD25" i="1"/>
  <c r="MC25" i="1"/>
  <c r="MA25" i="1"/>
  <c r="LZ25" i="1"/>
  <c r="LX25" i="1"/>
  <c r="LW25" i="1"/>
  <c r="LU25" i="1"/>
  <c r="LT25" i="1"/>
  <c r="LR25" i="1"/>
  <c r="LQ25" i="1"/>
  <c r="LO25" i="1"/>
  <c r="LN25" i="1"/>
  <c r="JP25" i="1"/>
  <c r="JA25" i="1"/>
  <c r="HQ25" i="1"/>
  <c r="HP25" i="1"/>
  <c r="HO25" i="1"/>
  <c r="HN25" i="1"/>
  <c r="HM25" i="1"/>
  <c r="HL25" i="1"/>
  <c r="GZ25" i="1"/>
  <c r="GY25" i="1"/>
  <c r="GN25" i="1"/>
  <c r="GK25" i="1"/>
  <c r="GD25" i="1"/>
  <c r="FY25" i="1"/>
  <c r="FS25" i="1"/>
  <c r="FN25" i="1"/>
  <c r="FH25" i="1"/>
  <c r="FC25" i="1"/>
  <c r="ES25" i="1"/>
  <c r="EI25" i="1"/>
  <c r="DY25" i="1"/>
  <c r="DO25" i="1"/>
  <c r="DE25" i="1"/>
  <c r="CU25" i="1"/>
  <c r="CK25" i="1"/>
  <c r="CC25" i="1"/>
  <c r="BS25" i="1"/>
  <c r="BM25" i="1"/>
  <c r="BL25" i="1"/>
  <c r="BJ25" i="1"/>
  <c r="BF25" i="1"/>
  <c r="BE25" i="1"/>
  <c r="AO25" i="1"/>
  <c r="AM25" i="1"/>
  <c r="AL25" i="1"/>
  <c r="NE24" i="1"/>
  <c r="ND24" i="1"/>
  <c r="NB24" i="1"/>
  <c r="NA24" i="1"/>
  <c r="MY24" i="1"/>
  <c r="MX24" i="1"/>
  <c r="MV24" i="1"/>
  <c r="MU24" i="1"/>
  <c r="MS24" i="1"/>
  <c r="MR24" i="1"/>
  <c r="MP24" i="1"/>
  <c r="MO24" i="1"/>
  <c r="MM24" i="1"/>
  <c r="ML24" i="1"/>
  <c r="MJ24" i="1"/>
  <c r="MI24" i="1"/>
  <c r="MG24" i="1"/>
  <c r="MF24" i="1"/>
  <c r="MC24" i="1"/>
  <c r="MD24" i="1" s="1"/>
  <c r="MA24" i="1"/>
  <c r="LZ24" i="1"/>
  <c r="LX24" i="1"/>
  <c r="LW24" i="1"/>
  <c r="LU24" i="1"/>
  <c r="LT24" i="1"/>
  <c r="LR24" i="1"/>
  <c r="LQ24" i="1"/>
  <c r="LO24" i="1"/>
  <c r="LN24" i="1"/>
  <c r="JP24" i="1"/>
  <c r="JA24" i="1"/>
  <c r="HP24" i="1"/>
  <c r="HO24" i="1"/>
  <c r="HM24" i="1"/>
  <c r="HL24" i="1"/>
  <c r="GN24" i="1"/>
  <c r="GK24" i="1"/>
  <c r="GD24" i="1"/>
  <c r="FY24" i="1"/>
  <c r="FS24" i="1"/>
  <c r="FN24" i="1"/>
  <c r="FH24" i="1"/>
  <c r="FC24" i="1"/>
  <c r="ES24" i="1"/>
  <c r="EI24" i="1"/>
  <c r="DY24" i="1"/>
  <c r="DO24" i="1"/>
  <c r="DE24" i="1"/>
  <c r="CU24" i="1"/>
  <c r="CK24" i="1"/>
  <c r="CC24" i="1"/>
  <c r="BS24" i="1"/>
  <c r="BM24" i="1"/>
  <c r="BL24" i="1"/>
  <c r="BJ24" i="1"/>
  <c r="BF24" i="1"/>
  <c r="BE24" i="1"/>
  <c r="AO24" i="1"/>
  <c r="AM24" i="1"/>
  <c r="AL24" i="1"/>
  <c r="NE23" i="1"/>
  <c r="ND23" i="1"/>
  <c r="NB23" i="1"/>
  <c r="NA23" i="1"/>
  <c r="MY23" i="1"/>
  <c r="MX23" i="1"/>
  <c r="MV23" i="1"/>
  <c r="MU23" i="1"/>
  <c r="MS23" i="1"/>
  <c r="MR23" i="1"/>
  <c r="MP23" i="1"/>
  <c r="MO23" i="1"/>
  <c r="MM23" i="1"/>
  <c r="ML23" i="1"/>
  <c r="MJ23" i="1"/>
  <c r="MI23" i="1"/>
  <c r="MG23" i="1"/>
  <c r="MF23" i="1"/>
  <c r="MD23" i="1"/>
  <c r="MC23" i="1"/>
  <c r="LZ23" i="1"/>
  <c r="MA23" i="1" s="1"/>
  <c r="LX23" i="1"/>
  <c r="LW23" i="1"/>
  <c r="LU23" i="1"/>
  <c r="LT23" i="1"/>
  <c r="LR23" i="1"/>
  <c r="LQ23" i="1"/>
  <c r="LO23" i="1"/>
  <c r="LN23" i="1"/>
  <c r="JP23" i="1"/>
  <c r="JA23" i="1"/>
  <c r="HQ23" i="1"/>
  <c r="HP23" i="1"/>
  <c r="HN23" i="1"/>
  <c r="HM23" i="1"/>
  <c r="GN23" i="1"/>
  <c r="GK23" i="1"/>
  <c r="GD23" i="1"/>
  <c r="FY23" i="1"/>
  <c r="FS23" i="1"/>
  <c r="FN23" i="1"/>
  <c r="FH23" i="1"/>
  <c r="FC23" i="1"/>
  <c r="ES23" i="1"/>
  <c r="EI23" i="1"/>
  <c r="DY23" i="1"/>
  <c r="DO23" i="1"/>
  <c r="DE23" i="1"/>
  <c r="CU23" i="1"/>
  <c r="CK23" i="1"/>
  <c r="CC23" i="1"/>
  <c r="BS23" i="1"/>
  <c r="BM23" i="1"/>
  <c r="BL23" i="1"/>
  <c r="BJ23" i="1"/>
  <c r="BF23" i="1"/>
  <c r="BE23" i="1"/>
  <c r="AO23" i="1"/>
  <c r="AM23" i="1"/>
  <c r="AL23" i="1"/>
  <c r="NE22" i="1"/>
  <c r="ND22" i="1"/>
  <c r="NB22" i="1"/>
  <c r="NA22" i="1"/>
  <c r="MY22" i="1"/>
  <c r="MX22" i="1"/>
  <c r="MV22" i="1"/>
  <c r="MU22" i="1"/>
  <c r="MS22" i="1"/>
  <c r="MR22" i="1"/>
  <c r="MP22" i="1"/>
  <c r="MO22" i="1"/>
  <c r="MM22" i="1"/>
  <c r="ML22" i="1"/>
  <c r="MJ22" i="1"/>
  <c r="MI22" i="1"/>
  <c r="MG22" i="1"/>
  <c r="MF22" i="1"/>
  <c r="MD22" i="1"/>
  <c r="MC22" i="1"/>
  <c r="LZ22" i="1"/>
  <c r="MA22" i="1" s="1"/>
  <c r="LX22" i="1"/>
  <c r="LW22" i="1"/>
  <c r="LU22" i="1"/>
  <c r="LT22" i="1"/>
  <c r="LR22" i="1"/>
  <c r="LQ22" i="1"/>
  <c r="LO22" i="1"/>
  <c r="LN22" i="1"/>
  <c r="JP22" i="1"/>
  <c r="JA22" i="1"/>
  <c r="HP22" i="1"/>
  <c r="HO22" i="1"/>
  <c r="HM22" i="1"/>
  <c r="HL22" i="1"/>
  <c r="GN22" i="1"/>
  <c r="GK22" i="1"/>
  <c r="GD22" i="1"/>
  <c r="FY22" i="1"/>
  <c r="FS22" i="1"/>
  <c r="FN22" i="1"/>
  <c r="FH22" i="1"/>
  <c r="FC22" i="1"/>
  <c r="ES22" i="1"/>
  <c r="EI22" i="1"/>
  <c r="DY22" i="1"/>
  <c r="DO22" i="1"/>
  <c r="DE22" i="1"/>
  <c r="CU22" i="1"/>
  <c r="CK22" i="1"/>
  <c r="CC22" i="1"/>
  <c r="BS22" i="1"/>
  <c r="BM22" i="1"/>
  <c r="BL22" i="1"/>
  <c r="BJ22" i="1"/>
  <c r="BF22" i="1"/>
  <c r="BE22" i="1"/>
  <c r="AO22" i="1"/>
  <c r="AL22" i="1"/>
  <c r="NE21" i="1"/>
  <c r="ND21" i="1"/>
  <c r="NB21" i="1"/>
  <c r="NA21" i="1"/>
  <c r="MY21" i="1"/>
  <c r="MX21" i="1"/>
  <c r="MV21" i="1"/>
  <c r="MU21" i="1"/>
  <c r="MS21" i="1"/>
  <c r="MR21" i="1"/>
  <c r="MP21" i="1"/>
  <c r="MO21" i="1"/>
  <c r="MM21" i="1"/>
  <c r="ML21" i="1"/>
  <c r="MJ21" i="1"/>
  <c r="MI21" i="1"/>
  <c r="MG21" i="1"/>
  <c r="MF21" i="1"/>
  <c r="MD21" i="1"/>
  <c r="MC21" i="1"/>
  <c r="LZ21" i="1"/>
  <c r="MA21" i="1" s="1"/>
  <c r="LX21" i="1"/>
  <c r="LW21" i="1"/>
  <c r="LU21" i="1"/>
  <c r="LT21" i="1"/>
  <c r="LR21" i="1"/>
  <c r="LQ21" i="1"/>
  <c r="LO21" i="1"/>
  <c r="LN21" i="1"/>
  <c r="JP21" i="1"/>
  <c r="JA21" i="1"/>
  <c r="HP21" i="1"/>
  <c r="HO21" i="1"/>
  <c r="HM21" i="1"/>
  <c r="HL21" i="1"/>
  <c r="GN21" i="1"/>
  <c r="GK21" i="1"/>
  <c r="GD21" i="1"/>
  <c r="FY21" i="1"/>
  <c r="FS21" i="1"/>
  <c r="FN21" i="1"/>
  <c r="FH21" i="1"/>
  <c r="FC21" i="1"/>
  <c r="ES21" i="1"/>
  <c r="EI21" i="1"/>
  <c r="DY21" i="1"/>
  <c r="DO21" i="1"/>
  <c r="DE21" i="1"/>
  <c r="CU21" i="1"/>
  <c r="CK21" i="1"/>
  <c r="CC21" i="1"/>
  <c r="BS21" i="1"/>
  <c r="BM21" i="1"/>
  <c r="BL21" i="1"/>
  <c r="BJ21" i="1"/>
  <c r="BF21" i="1"/>
  <c r="BE21" i="1"/>
  <c r="AO21" i="1"/>
  <c r="AM21" i="1"/>
  <c r="AL21" i="1"/>
  <c r="NE20" i="1"/>
  <c r="ND20" i="1"/>
  <c r="NB20" i="1"/>
  <c r="NA20" i="1"/>
  <c r="MY20" i="1"/>
  <c r="MX20" i="1"/>
  <c r="MV20" i="1"/>
  <c r="MU20" i="1"/>
  <c r="MS20" i="1"/>
  <c r="MR20" i="1"/>
  <c r="MP20" i="1"/>
  <c r="MO20" i="1"/>
  <c r="MM20" i="1"/>
  <c r="ML20" i="1"/>
  <c r="MJ20" i="1"/>
  <c r="MI20" i="1"/>
  <c r="MG20" i="1"/>
  <c r="MF20" i="1"/>
  <c r="MD20" i="1"/>
  <c r="MC20" i="1"/>
  <c r="LZ20" i="1"/>
  <c r="MA20" i="1" s="1"/>
  <c r="LX20" i="1"/>
  <c r="LW20" i="1"/>
  <c r="LU20" i="1"/>
  <c r="LT20" i="1"/>
  <c r="LR20" i="1"/>
  <c r="LQ20" i="1"/>
  <c r="LO20" i="1"/>
  <c r="LN20" i="1"/>
  <c r="JP20" i="1"/>
  <c r="JA20" i="1"/>
  <c r="HN20" i="1"/>
  <c r="HM20" i="1"/>
  <c r="GZ20" i="1"/>
  <c r="GY20" i="1"/>
  <c r="GN20" i="1"/>
  <c r="GK20" i="1"/>
  <c r="GD20" i="1"/>
  <c r="FY20" i="1"/>
  <c r="FS20" i="1"/>
  <c r="FN20" i="1"/>
  <c r="FH20" i="1"/>
  <c r="FC20" i="1"/>
  <c r="ES20" i="1"/>
  <c r="EI20" i="1"/>
  <c r="DY20" i="1"/>
  <c r="DO20" i="1"/>
  <c r="DE20" i="1"/>
  <c r="CU20" i="1"/>
  <c r="CK20" i="1"/>
  <c r="CC20" i="1"/>
  <c r="BS20" i="1"/>
  <c r="BM20" i="1"/>
  <c r="BL20" i="1"/>
  <c r="BJ20" i="1"/>
  <c r="BF20" i="1"/>
  <c r="BE20" i="1"/>
  <c r="AO20" i="1"/>
  <c r="AM20" i="1"/>
  <c r="AL20" i="1"/>
  <c r="NE19" i="1"/>
  <c r="ND19" i="1"/>
  <c r="NB19" i="1"/>
  <c r="NA19" i="1"/>
  <c r="MY19" i="1"/>
  <c r="MX19" i="1"/>
  <c r="MV19" i="1"/>
  <c r="MU19" i="1"/>
  <c r="MS19" i="1"/>
  <c r="MR19" i="1"/>
  <c r="MP19" i="1"/>
  <c r="MO19" i="1"/>
  <c r="MM19" i="1"/>
  <c r="ML19" i="1"/>
  <c r="MJ19" i="1"/>
  <c r="MI19" i="1"/>
  <c r="MG19" i="1"/>
  <c r="MF19" i="1"/>
  <c r="MD19" i="1"/>
  <c r="MC19" i="1"/>
  <c r="MA19" i="1"/>
  <c r="LZ19" i="1"/>
  <c r="LW19" i="1"/>
  <c r="LX19" i="1" s="1"/>
  <c r="LU19" i="1"/>
  <c r="LT19" i="1"/>
  <c r="LR19" i="1"/>
  <c r="LQ19" i="1"/>
  <c r="LO19" i="1"/>
  <c r="LN19" i="1"/>
  <c r="JP19" i="1"/>
  <c r="JA19" i="1"/>
  <c r="HP19" i="1"/>
  <c r="HM19" i="1"/>
  <c r="GZ19" i="1"/>
  <c r="GY19" i="1"/>
  <c r="GN19" i="1"/>
  <c r="GK19" i="1"/>
  <c r="GD19" i="1"/>
  <c r="FY19" i="1"/>
  <c r="FS19" i="1"/>
  <c r="FN19" i="1"/>
  <c r="FH19" i="1"/>
  <c r="FC19" i="1"/>
  <c r="ES19" i="1"/>
  <c r="EI19" i="1"/>
  <c r="DY19" i="1"/>
  <c r="DO19" i="1"/>
  <c r="DE19" i="1"/>
  <c r="CU19" i="1"/>
  <c r="CK19" i="1"/>
  <c r="CC19" i="1"/>
  <c r="BS19" i="1"/>
  <c r="BM19" i="1"/>
  <c r="BL19" i="1"/>
  <c r="BJ19" i="1"/>
  <c r="BF19" i="1"/>
  <c r="BE19" i="1"/>
  <c r="AO19" i="1"/>
  <c r="AM19" i="1"/>
  <c r="AL19" i="1"/>
  <c r="NE18" i="1"/>
  <c r="ND18" i="1"/>
  <c r="NB18" i="1"/>
  <c r="NA18" i="1"/>
  <c r="MY18" i="1"/>
  <c r="MX18" i="1"/>
  <c r="MV18" i="1"/>
  <c r="MU18" i="1"/>
  <c r="MS18" i="1"/>
  <c r="MR18" i="1"/>
  <c r="MP18" i="1"/>
  <c r="MO18" i="1"/>
  <c r="MM18" i="1"/>
  <c r="ML18" i="1"/>
  <c r="MJ18" i="1"/>
  <c r="MI18" i="1"/>
  <c r="MG18" i="1"/>
  <c r="MF18" i="1"/>
  <c r="MD18" i="1"/>
  <c r="MC18" i="1"/>
  <c r="MA18" i="1"/>
  <c r="LZ18" i="1"/>
  <c r="LW18" i="1"/>
  <c r="LX18" i="1" s="1"/>
  <c r="LU18" i="1"/>
  <c r="LT18" i="1"/>
  <c r="LR18" i="1"/>
  <c r="LQ18" i="1"/>
  <c r="LO18" i="1"/>
  <c r="LN18" i="1"/>
  <c r="JP18" i="1"/>
  <c r="JA18" i="1"/>
  <c r="HP18" i="1"/>
  <c r="HO18" i="1"/>
  <c r="HM18" i="1"/>
  <c r="HL18" i="1"/>
  <c r="GN18" i="1"/>
  <c r="GK18" i="1"/>
  <c r="GD18" i="1"/>
  <c r="FY18" i="1"/>
  <c r="FS18" i="1"/>
  <c r="FN18" i="1"/>
  <c r="FH18" i="1"/>
  <c r="FC18" i="1"/>
  <c r="ES18" i="1"/>
  <c r="EI18" i="1"/>
  <c r="DY18" i="1"/>
  <c r="DO18" i="1"/>
  <c r="DE18" i="1"/>
  <c r="CU18" i="1"/>
  <c r="CK18" i="1"/>
  <c r="CC18" i="1"/>
  <c r="BS18" i="1"/>
  <c r="BM18" i="1"/>
  <c r="BL18" i="1"/>
  <c r="BJ18" i="1"/>
  <c r="BF18" i="1"/>
  <c r="BE18" i="1"/>
  <c r="AO18" i="1"/>
  <c r="AM18" i="1"/>
  <c r="AL18" i="1"/>
  <c r="NE17" i="1"/>
  <c r="ND17" i="1"/>
  <c r="NB17" i="1"/>
  <c r="NA17" i="1"/>
  <c r="MY17" i="1"/>
  <c r="MX17" i="1"/>
  <c r="MV17" i="1"/>
  <c r="MU17" i="1"/>
  <c r="MS17" i="1"/>
  <c r="MR17" i="1"/>
  <c r="MP17" i="1"/>
  <c r="MO17" i="1"/>
  <c r="MM17" i="1"/>
  <c r="ML17" i="1"/>
  <c r="MJ17" i="1"/>
  <c r="MI17" i="1"/>
  <c r="MG17" i="1"/>
  <c r="MF17" i="1"/>
  <c r="MD17" i="1"/>
  <c r="MC17" i="1"/>
  <c r="MA17" i="1"/>
  <c r="LZ17" i="1"/>
  <c r="LW17" i="1"/>
  <c r="LX17" i="1" s="1"/>
  <c r="LU17" i="1"/>
  <c r="LT17" i="1"/>
  <c r="LR17" i="1"/>
  <c r="LQ17" i="1"/>
  <c r="LO17" i="1"/>
  <c r="LN17" i="1"/>
  <c r="JP17" i="1"/>
  <c r="JA17" i="1"/>
  <c r="HQ17" i="1"/>
  <c r="HP17" i="1"/>
  <c r="HO17" i="1"/>
  <c r="HN17" i="1"/>
  <c r="HM17" i="1"/>
  <c r="HL17" i="1"/>
  <c r="GZ17" i="1"/>
  <c r="GY17" i="1"/>
  <c r="GN17" i="1"/>
  <c r="GK17" i="1"/>
  <c r="GD17" i="1"/>
  <c r="FY17" i="1"/>
  <c r="FS17" i="1"/>
  <c r="FN17" i="1"/>
  <c r="FH17" i="1"/>
  <c r="FC17" i="1"/>
  <c r="ES17" i="1"/>
  <c r="EI17" i="1"/>
  <c r="DY17" i="1"/>
  <c r="DO17" i="1"/>
  <c r="DE17" i="1"/>
  <c r="CU17" i="1"/>
  <c r="CK17" i="1"/>
  <c r="CC17" i="1"/>
  <c r="BS17" i="1"/>
  <c r="BM17" i="1"/>
  <c r="BL17" i="1"/>
  <c r="BJ17" i="1"/>
  <c r="BF17" i="1"/>
  <c r="BE17" i="1"/>
  <c r="AO17" i="1"/>
  <c r="AM17" i="1"/>
  <c r="AL17" i="1"/>
  <c r="NE16" i="1"/>
  <c r="ND16" i="1"/>
  <c r="NB16" i="1"/>
  <c r="NA16" i="1"/>
  <c r="MY16" i="1"/>
  <c r="MX16" i="1"/>
  <c r="MV16" i="1"/>
  <c r="MU16" i="1"/>
  <c r="MS16" i="1"/>
  <c r="MR16" i="1"/>
  <c r="MP16" i="1"/>
  <c r="MO16" i="1"/>
  <c r="MM16" i="1"/>
  <c r="ML16" i="1"/>
  <c r="MJ16" i="1"/>
  <c r="MI16" i="1"/>
  <c r="MG16" i="1"/>
  <c r="MF16" i="1"/>
  <c r="MD16" i="1"/>
  <c r="MC16" i="1"/>
  <c r="MA16" i="1"/>
  <c r="LZ16" i="1"/>
  <c r="LX16" i="1"/>
  <c r="LW16" i="1"/>
  <c r="LT16" i="1"/>
  <c r="LU16" i="1" s="1"/>
  <c r="LR16" i="1"/>
  <c r="LQ16" i="1"/>
  <c r="LO16" i="1"/>
  <c r="LN16" i="1"/>
  <c r="JQ16" i="1"/>
  <c r="JP16" i="1"/>
  <c r="JA16" i="1"/>
  <c r="HP16" i="1"/>
  <c r="HO16" i="1"/>
  <c r="HM16" i="1"/>
  <c r="HL16" i="1"/>
  <c r="GN16" i="1"/>
  <c r="GK16" i="1"/>
  <c r="GD16" i="1"/>
  <c r="FY16" i="1"/>
  <c r="FS16" i="1"/>
  <c r="FN16" i="1"/>
  <c r="FH16" i="1"/>
  <c r="FC16" i="1"/>
  <c r="ES16" i="1"/>
  <c r="EI16" i="1"/>
  <c r="DY16" i="1"/>
  <c r="DO16" i="1"/>
  <c r="DE16" i="1"/>
  <c r="CU16" i="1"/>
  <c r="CK16" i="1"/>
  <c r="CC16" i="1"/>
  <c r="BS16" i="1"/>
  <c r="BM16" i="1"/>
  <c r="BL16" i="1"/>
  <c r="BJ16" i="1"/>
  <c r="BF16" i="1"/>
  <c r="BE16" i="1"/>
  <c r="AO16" i="1"/>
  <c r="AM16" i="1"/>
  <c r="AL16" i="1"/>
  <c r="NE15" i="1"/>
  <c r="ND15" i="1"/>
  <c r="NB15" i="1"/>
  <c r="NA15" i="1"/>
  <c r="MY15" i="1"/>
  <c r="MX15" i="1"/>
  <c r="MV15" i="1"/>
  <c r="MU15" i="1"/>
  <c r="MS15" i="1"/>
  <c r="MR15" i="1"/>
  <c r="MP15" i="1"/>
  <c r="MO15" i="1"/>
  <c r="MM15" i="1"/>
  <c r="ML15" i="1"/>
  <c r="MJ15" i="1"/>
  <c r="MI15" i="1"/>
  <c r="MG15" i="1"/>
  <c r="MF15" i="1"/>
  <c r="MD15" i="1"/>
  <c r="MC15" i="1"/>
  <c r="MA15" i="1"/>
  <c r="LZ15" i="1"/>
  <c r="LX15" i="1"/>
  <c r="LW15" i="1"/>
  <c r="LT15" i="1"/>
  <c r="LU15" i="1" s="1"/>
  <c r="LR15" i="1"/>
  <c r="LQ15" i="1"/>
  <c r="LO15" i="1"/>
  <c r="LN15" i="1"/>
  <c r="JP15" i="1"/>
  <c r="JB15" i="1"/>
  <c r="JA15" i="1"/>
  <c r="HP15" i="1"/>
  <c r="HO15" i="1"/>
  <c r="HM15" i="1"/>
  <c r="HL15" i="1"/>
  <c r="GZ15" i="1"/>
  <c r="GY15" i="1"/>
  <c r="GN15" i="1"/>
  <c r="GK15" i="1"/>
  <c r="GD15" i="1"/>
  <c r="FY15" i="1"/>
  <c r="FS15" i="1"/>
  <c r="FN15" i="1"/>
  <c r="FH15" i="1"/>
  <c r="FC15" i="1"/>
  <c r="ES15" i="1"/>
  <c r="EI15" i="1"/>
  <c r="DY15" i="1"/>
  <c r="DO15" i="1"/>
  <c r="DE15" i="1"/>
  <c r="CU15" i="1"/>
  <c r="CK15" i="1"/>
  <c r="CC15" i="1"/>
  <c r="BS15" i="1"/>
  <c r="BM15" i="1"/>
  <c r="BL15" i="1"/>
  <c r="BJ15" i="1"/>
  <c r="BF15" i="1"/>
  <c r="BE15" i="1"/>
  <c r="AO15" i="1"/>
  <c r="AM15" i="1"/>
  <c r="AL15" i="1"/>
  <c r="NE14" i="1"/>
  <c r="ND14" i="1"/>
  <c r="NB14" i="1"/>
  <c r="NA14" i="1"/>
  <c r="MY14" i="1"/>
  <c r="MX14" i="1"/>
  <c r="MV14" i="1"/>
  <c r="MU14" i="1"/>
  <c r="MS14" i="1"/>
  <c r="MR14" i="1"/>
  <c r="MP14" i="1"/>
  <c r="MO14" i="1"/>
  <c r="MM14" i="1"/>
  <c r="ML14" i="1"/>
  <c r="MJ14" i="1"/>
  <c r="MI14" i="1"/>
  <c r="MG14" i="1"/>
  <c r="MF14" i="1"/>
  <c r="MD14" i="1"/>
  <c r="MC14" i="1"/>
  <c r="MA14" i="1"/>
  <c r="LZ14" i="1"/>
  <c r="LX14" i="1"/>
  <c r="LW14" i="1"/>
  <c r="LU14" i="1"/>
  <c r="LT14" i="1"/>
  <c r="LQ14" i="1"/>
  <c r="LR14" i="1" s="1"/>
  <c r="LO14" i="1"/>
  <c r="LN14" i="1"/>
  <c r="JQ14" i="1"/>
  <c r="JP14" i="1"/>
  <c r="JA14" i="1"/>
  <c r="HP14" i="1"/>
  <c r="HO14" i="1"/>
  <c r="HM14" i="1"/>
  <c r="HL14" i="1"/>
  <c r="GN14" i="1"/>
  <c r="GK14" i="1"/>
  <c r="GD14" i="1"/>
  <c r="FY14" i="1"/>
  <c r="FS14" i="1"/>
  <c r="FN14" i="1"/>
  <c r="FH14" i="1"/>
  <c r="FC14" i="1"/>
  <c r="ES14" i="1"/>
  <c r="EI14" i="1"/>
  <c r="DY14" i="1"/>
  <c r="DO14" i="1"/>
  <c r="DE14" i="1"/>
  <c r="CU14" i="1"/>
  <c r="CK14" i="1"/>
  <c r="CC14" i="1"/>
  <c r="BS14" i="1"/>
  <c r="BM14" i="1"/>
  <c r="BL14" i="1"/>
  <c r="BJ14" i="1"/>
  <c r="BF14" i="1"/>
  <c r="BE14" i="1"/>
  <c r="AO14" i="1"/>
  <c r="AM14" i="1"/>
  <c r="AL14" i="1"/>
  <c r="NE13" i="1"/>
  <c r="ND13" i="1"/>
  <c r="NB13" i="1"/>
  <c r="NA13" i="1"/>
  <c r="MY13" i="1"/>
  <c r="MX13" i="1"/>
  <c r="MV13" i="1"/>
  <c r="MU13" i="1"/>
  <c r="MS13" i="1"/>
  <c r="MR13" i="1"/>
  <c r="MP13" i="1"/>
  <c r="MO13" i="1"/>
  <c r="MM13" i="1"/>
  <c r="ML13" i="1"/>
  <c r="MJ13" i="1"/>
  <c r="MI13" i="1"/>
  <c r="MG13" i="1"/>
  <c r="MF13" i="1"/>
  <c r="MD13" i="1"/>
  <c r="MC13" i="1"/>
  <c r="MA13" i="1"/>
  <c r="LZ13" i="1"/>
  <c r="LX13" i="1"/>
  <c r="LW13" i="1"/>
  <c r="LU13" i="1"/>
  <c r="LT13" i="1"/>
  <c r="LQ13" i="1"/>
  <c r="LR13" i="1" s="1"/>
  <c r="LO13" i="1"/>
  <c r="LN13" i="1"/>
  <c r="JP13" i="1"/>
  <c r="JA13" i="1"/>
  <c r="HQ13" i="1"/>
  <c r="HP13" i="1"/>
  <c r="HN13" i="1"/>
  <c r="HM13" i="1"/>
  <c r="GZ13" i="1"/>
  <c r="GY13" i="1"/>
  <c r="GN13" i="1"/>
  <c r="GK13" i="1"/>
  <c r="GD13" i="1"/>
  <c r="FY13" i="1"/>
  <c r="FS13" i="1"/>
  <c r="FN13" i="1"/>
  <c r="FH13" i="1"/>
  <c r="FC13" i="1"/>
  <c r="ES13" i="1"/>
  <c r="EI13" i="1"/>
  <c r="DY13" i="1"/>
  <c r="DO13" i="1"/>
  <c r="DE13" i="1"/>
  <c r="CU13" i="1"/>
  <c r="CK13" i="1"/>
  <c r="CC13" i="1"/>
  <c r="BS13" i="1"/>
  <c r="BM13" i="1"/>
  <c r="BL13" i="1"/>
  <c r="BJ13" i="1"/>
  <c r="BF13" i="1"/>
  <c r="BE13" i="1"/>
  <c r="AO13" i="1"/>
  <c r="AM13" i="1"/>
  <c r="AL13" i="1"/>
  <c r="NE12" i="1"/>
  <c r="ND12" i="1"/>
  <c r="NB12" i="1"/>
  <c r="NA12" i="1"/>
  <c r="MY12" i="1"/>
  <c r="MX12" i="1"/>
  <c r="MV12" i="1"/>
  <c r="MU12" i="1"/>
  <c r="MS12" i="1"/>
  <c r="MR12" i="1"/>
  <c r="MP12" i="1"/>
  <c r="MO12" i="1"/>
  <c r="MM12" i="1"/>
  <c r="ML12" i="1"/>
  <c r="MJ12" i="1"/>
  <c r="MI12" i="1"/>
  <c r="MG12" i="1"/>
  <c r="MF12" i="1"/>
  <c r="MD12" i="1"/>
  <c r="MC12" i="1"/>
  <c r="MA12" i="1"/>
  <c r="LZ12" i="1"/>
  <c r="LX12" i="1"/>
  <c r="LW12" i="1"/>
  <c r="LU12" i="1"/>
  <c r="LT12" i="1"/>
  <c r="LQ12" i="1"/>
  <c r="LR12" i="1" s="1"/>
  <c r="LO12" i="1"/>
  <c r="LN12" i="1"/>
  <c r="JP12" i="1"/>
  <c r="JA12" i="1"/>
  <c r="HP12" i="1"/>
  <c r="HO12" i="1"/>
  <c r="HM12" i="1"/>
  <c r="HL12" i="1"/>
  <c r="GZ12" i="1"/>
  <c r="GY12" i="1"/>
  <c r="GN12" i="1"/>
  <c r="GK12" i="1"/>
  <c r="GD12" i="1"/>
  <c r="FY12" i="1"/>
  <c r="FS12" i="1"/>
  <c r="FN12" i="1"/>
  <c r="FH12" i="1"/>
  <c r="FC12" i="1"/>
  <c r="ES12" i="1"/>
  <c r="EI12" i="1"/>
  <c r="DY12" i="1"/>
  <c r="DO12" i="1"/>
  <c r="DE12" i="1"/>
  <c r="CU12" i="1"/>
  <c r="CK12" i="1"/>
  <c r="CC12" i="1"/>
  <c r="BS12" i="1"/>
  <c r="BM12" i="1"/>
  <c r="BL12" i="1"/>
  <c r="BJ12" i="1"/>
  <c r="BF12" i="1"/>
  <c r="BE12" i="1"/>
  <c r="AO12" i="1"/>
  <c r="AM12" i="1"/>
  <c r="AL12" i="1"/>
  <c r="NE11" i="1"/>
  <c r="ND11" i="1"/>
  <c r="NB11" i="1"/>
  <c r="NA11" i="1"/>
  <c r="MY11" i="1"/>
  <c r="MX11" i="1"/>
  <c r="MV11" i="1"/>
  <c r="MU11" i="1"/>
  <c r="MS11" i="1"/>
  <c r="MR11" i="1"/>
  <c r="MP11" i="1"/>
  <c r="MO11" i="1"/>
  <c r="MM11" i="1"/>
  <c r="ML11" i="1"/>
  <c r="MJ11" i="1"/>
  <c r="MI11" i="1"/>
  <c r="MG11" i="1"/>
  <c r="MF11" i="1"/>
  <c r="MD11" i="1"/>
  <c r="MC11" i="1"/>
  <c r="MA11" i="1"/>
  <c r="LZ11" i="1"/>
  <c r="LX11" i="1"/>
  <c r="LW11" i="1"/>
  <c r="LU11" i="1"/>
  <c r="LT11" i="1"/>
  <c r="LR11" i="1"/>
  <c r="LQ11" i="1"/>
  <c r="LN11" i="1"/>
  <c r="LO11" i="1" s="1"/>
  <c r="JP11" i="1"/>
  <c r="JA11" i="1"/>
  <c r="HQ11" i="1"/>
  <c r="HP11" i="1"/>
  <c r="HO11" i="1"/>
  <c r="HN11" i="1"/>
  <c r="HM11" i="1"/>
  <c r="HL11" i="1"/>
  <c r="GZ11" i="1"/>
  <c r="GY11" i="1"/>
  <c r="GN11" i="1"/>
  <c r="GK11" i="1"/>
  <c r="GD11" i="1"/>
  <c r="FY11" i="1"/>
  <c r="FS11" i="1"/>
  <c r="FN11" i="1"/>
  <c r="FH11" i="1"/>
  <c r="FC11" i="1"/>
  <c r="ES11" i="1"/>
  <c r="EI11" i="1"/>
  <c r="DY11" i="1"/>
  <c r="DO11" i="1"/>
  <c r="DE11" i="1"/>
  <c r="CU11" i="1"/>
  <c r="CK11" i="1"/>
  <c r="CC11" i="1"/>
  <c r="BS11" i="1"/>
  <c r="BM11" i="1"/>
  <c r="BL11" i="1"/>
  <c r="BJ11" i="1"/>
  <c r="BF11" i="1"/>
  <c r="BE11" i="1"/>
  <c r="AO11" i="1"/>
  <c r="AM11" i="1"/>
  <c r="AL11" i="1"/>
  <c r="NE10" i="1"/>
  <c r="ND10" i="1"/>
  <c r="NB10" i="1"/>
  <c r="NA10" i="1"/>
  <c r="MY10" i="1"/>
  <c r="MX10" i="1"/>
  <c r="MV10" i="1"/>
  <c r="MU10" i="1"/>
  <c r="MS10" i="1"/>
  <c r="MR10" i="1"/>
  <c r="MP10" i="1"/>
  <c r="MO10" i="1"/>
  <c r="MM10" i="1"/>
  <c r="ML10" i="1"/>
  <c r="MJ10" i="1"/>
  <c r="MI10" i="1"/>
  <c r="MG10" i="1"/>
  <c r="MF10" i="1"/>
  <c r="MD10" i="1"/>
  <c r="MC10" i="1"/>
  <c r="MA10" i="1"/>
  <c r="LZ10" i="1"/>
  <c r="LX10" i="1"/>
  <c r="LW10" i="1"/>
  <c r="LU10" i="1"/>
  <c r="LT10" i="1"/>
  <c r="LR10" i="1"/>
  <c r="LQ10" i="1"/>
  <c r="LN10" i="1"/>
  <c r="LO10" i="1" s="1"/>
  <c r="JP10" i="1"/>
  <c r="GK10" i="1"/>
  <c r="NE9" i="1"/>
  <c r="ND9" i="1"/>
  <c r="NB9" i="1"/>
  <c r="NA9" i="1"/>
  <c r="MY9" i="1"/>
  <c r="MX9" i="1"/>
  <c r="MV9" i="1"/>
  <c r="MU9" i="1"/>
  <c r="MS9" i="1"/>
  <c r="MR9" i="1"/>
  <c r="MP9" i="1"/>
  <c r="MO9" i="1"/>
  <c r="MM9" i="1"/>
  <c r="ML9" i="1"/>
  <c r="MJ9" i="1"/>
  <c r="MI9" i="1"/>
  <c r="MG9" i="1"/>
  <c r="MF9" i="1"/>
  <c r="MD9" i="1"/>
  <c r="MC9" i="1"/>
  <c r="MA9" i="1"/>
  <c r="LZ9" i="1"/>
  <c r="LX9" i="1"/>
  <c r="LW9" i="1"/>
  <c r="LU9" i="1"/>
  <c r="LT9" i="1"/>
  <c r="LR9" i="1"/>
  <c r="LQ9" i="1"/>
  <c r="LN9" i="1"/>
  <c r="LO9" i="1" s="1"/>
  <c r="JP9" i="1"/>
  <c r="JA9" i="1"/>
  <c r="HP9" i="1"/>
  <c r="HO9" i="1"/>
  <c r="HM9" i="1"/>
  <c r="HL9" i="1"/>
  <c r="GZ9" i="1"/>
  <c r="GY9" i="1"/>
  <c r="GN9" i="1"/>
  <c r="GK9" i="1"/>
  <c r="GD9" i="1"/>
  <c r="FY9" i="1"/>
  <c r="FS9" i="1"/>
  <c r="FN9" i="1"/>
  <c r="FH9" i="1"/>
  <c r="FC9" i="1"/>
  <c r="ES9" i="1"/>
  <c r="EI9" i="1"/>
  <c r="DY9" i="1"/>
  <c r="DO9" i="1"/>
  <c r="DE9" i="1"/>
  <c r="CU9" i="1"/>
  <c r="CK9" i="1"/>
  <c r="CC9" i="1"/>
  <c r="BS9" i="1"/>
  <c r="BM9" i="1"/>
  <c r="BL9" i="1"/>
  <c r="BJ9" i="1"/>
  <c r="BF9" i="1"/>
  <c r="BE9" i="1"/>
  <c r="AO9" i="1"/>
  <c r="AM9" i="1"/>
  <c r="AL9" i="1"/>
  <c r="NE8" i="1"/>
  <c r="ND8" i="1"/>
  <c r="NB8" i="1"/>
  <c r="NA8" i="1"/>
  <c r="MY8" i="1"/>
  <c r="MX8" i="1"/>
  <c r="MV8" i="1"/>
  <c r="MU8" i="1"/>
  <c r="MS8" i="1"/>
  <c r="MR8" i="1"/>
  <c r="MP8" i="1"/>
  <c r="MO8" i="1"/>
  <c r="MM8" i="1"/>
  <c r="ML8" i="1"/>
  <c r="MJ8" i="1"/>
  <c r="MI8" i="1"/>
  <c r="MG8" i="1"/>
  <c r="MF8" i="1"/>
  <c r="MD8" i="1"/>
  <c r="MC8" i="1"/>
  <c r="MA8" i="1"/>
  <c r="LZ8" i="1"/>
  <c r="LX8" i="1"/>
  <c r="LW8" i="1"/>
  <c r="LU8" i="1"/>
  <c r="LT8" i="1"/>
  <c r="LR8" i="1"/>
  <c r="LQ8" i="1"/>
  <c r="LN8" i="1"/>
  <c r="LO8" i="1" s="1"/>
  <c r="JP8" i="1"/>
  <c r="JA8" i="1"/>
  <c r="HP8" i="1"/>
  <c r="HO8" i="1"/>
  <c r="HM8" i="1"/>
  <c r="HL8" i="1"/>
  <c r="GZ8" i="1"/>
  <c r="GY8" i="1"/>
  <c r="GN8" i="1"/>
  <c r="GK8" i="1"/>
  <c r="GD8" i="1"/>
  <c r="FY8" i="1"/>
  <c r="FS8" i="1"/>
  <c r="FN8" i="1"/>
  <c r="FH8" i="1"/>
  <c r="FC8" i="1"/>
  <c r="ES8" i="1"/>
  <c r="EI8" i="1"/>
  <c r="DY8" i="1"/>
  <c r="DO8" i="1"/>
  <c r="DE8" i="1"/>
  <c r="CU8" i="1"/>
  <c r="CK8" i="1"/>
  <c r="CC8" i="1"/>
  <c r="BS8" i="1"/>
  <c r="BM8" i="1"/>
  <c r="BL8" i="1"/>
  <c r="BJ8" i="1"/>
  <c r="BF8" i="1"/>
  <c r="BE8" i="1"/>
  <c r="AO8" i="1"/>
  <c r="AM8" i="1"/>
  <c r="AL8" i="1"/>
  <c r="BK62" i="1" l="1"/>
  <c r="GO84" i="1"/>
  <c r="GO64" i="1"/>
  <c r="BK80" i="1"/>
  <c r="GO92" i="1"/>
  <c r="GO60" i="1"/>
  <c r="GO80" i="1"/>
  <c r="GO46" i="1"/>
  <c r="BK49" i="1"/>
  <c r="GO11" i="1"/>
  <c r="BG22" i="1"/>
  <c r="BI22" i="1" s="1"/>
  <c r="BK73" i="1"/>
  <c r="GO73" i="1"/>
  <c r="GO18" i="1"/>
  <c r="GO23" i="1"/>
  <c r="GO32" i="1"/>
  <c r="BK39" i="1"/>
  <c r="BK46" i="1"/>
  <c r="GO45" i="1"/>
  <c r="BK57" i="1"/>
  <c r="GO72" i="1"/>
  <c r="BK14" i="1"/>
  <c r="GO29" i="1"/>
  <c r="GO30" i="1"/>
  <c r="GO40" i="1"/>
  <c r="GO53" i="1"/>
  <c r="GO55" i="1"/>
  <c r="BG63" i="1"/>
  <c r="BI63" i="1" s="1"/>
  <c r="GO66" i="1"/>
  <c r="BK68" i="1"/>
  <c r="GO70" i="1"/>
  <c r="GO81" i="1"/>
  <c r="BK94" i="1"/>
  <c r="BK77" i="1"/>
  <c r="GO83" i="1"/>
  <c r="BK85" i="1"/>
  <c r="BK89" i="1"/>
  <c r="GO91" i="1"/>
  <c r="BK93" i="1"/>
  <c r="BG20" i="1"/>
  <c r="BI20" i="1" s="1"/>
  <c r="BK13" i="1"/>
  <c r="BK21" i="1"/>
  <c r="GO24" i="1"/>
  <c r="BK29" i="1"/>
  <c r="BH37" i="1"/>
  <c r="BK40" i="1"/>
  <c r="BG44" i="1"/>
  <c r="BI44" i="1" s="1"/>
  <c r="BK45" i="1"/>
  <c r="BK51" i="1"/>
  <c r="BK52" i="1"/>
  <c r="BG64" i="1"/>
  <c r="BI64" i="1" s="1"/>
  <c r="BG66" i="1"/>
  <c r="BI66" i="1" s="1"/>
  <c r="BK70" i="1"/>
  <c r="BH70" i="1"/>
  <c r="BG71" i="1"/>
  <c r="BI71" i="1" s="1"/>
  <c r="BK72" i="1"/>
  <c r="BH21" i="1"/>
  <c r="BH28" i="1"/>
  <c r="GO28" i="1"/>
  <c r="BH8" i="1"/>
  <c r="BG11" i="1"/>
  <c r="BI11" i="1" s="1"/>
  <c r="GO16" i="1"/>
  <c r="BK23" i="1"/>
  <c r="BK25" i="1"/>
  <c r="BK26" i="1"/>
  <c r="GO33" i="1"/>
  <c r="GO34" i="1"/>
  <c r="GO37" i="1"/>
  <c r="BK43" i="1"/>
  <c r="GO43" i="1"/>
  <c r="GO44" i="1"/>
  <c r="BG48" i="1"/>
  <c r="BI48" i="1" s="1"/>
  <c r="GO48" i="1"/>
  <c r="GO50" i="1"/>
  <c r="GO62" i="1"/>
  <c r="GO65" i="1"/>
  <c r="BK69" i="1"/>
  <c r="BH22" i="1"/>
  <c r="BH46" i="1"/>
  <c r="BG47" i="1"/>
  <c r="BI47" i="1" s="1"/>
  <c r="GO68" i="1"/>
  <c r="GO75" i="1"/>
  <c r="GO90" i="1"/>
  <c r="MZ21" i="1"/>
  <c r="BH42" i="1"/>
  <c r="BH43" i="1"/>
  <c r="BH45" i="1"/>
  <c r="BH50" i="1"/>
  <c r="BH66" i="1"/>
  <c r="GO82" i="1"/>
  <c r="GO86" i="1"/>
  <c r="BH33" i="1"/>
  <c r="BK12" i="1"/>
  <c r="BG13" i="1"/>
  <c r="BI13" i="1" s="1"/>
  <c r="BH15" i="1"/>
  <c r="BK16" i="1"/>
  <c r="BH16" i="1"/>
  <c r="GO20" i="1"/>
  <c r="BG23" i="1"/>
  <c r="BI23" i="1" s="1"/>
  <c r="BH27" i="1"/>
  <c r="BK28" i="1"/>
  <c r="BK31" i="1"/>
  <c r="BH31" i="1"/>
  <c r="BG45" i="1"/>
  <c r="BI45" i="1" s="1"/>
  <c r="BK48" i="1"/>
  <c r="BH51" i="1"/>
  <c r="GO52" i="1"/>
  <c r="GO54" i="1"/>
  <c r="BG58" i="1"/>
  <c r="BI58" i="1" s="1"/>
  <c r="BK63" i="1"/>
  <c r="BK64" i="1"/>
  <c r="BH74" i="1"/>
  <c r="BK75" i="1"/>
  <c r="GO76" i="1"/>
  <c r="BK79" i="1"/>
  <c r="BG81" i="1"/>
  <c r="BI81" i="1" s="1"/>
  <c r="BK86" i="1"/>
  <c r="GO87" i="1"/>
  <c r="BK37" i="1"/>
  <c r="LS24" i="1"/>
  <c r="ME25" i="1"/>
  <c r="MW38" i="1"/>
  <c r="BK8" i="1"/>
  <c r="GO9" i="1"/>
  <c r="BK15" i="1"/>
  <c r="BH18" i="1"/>
  <c r="BK20" i="1"/>
  <c r="GO27" i="1"/>
  <c r="BK30" i="1"/>
  <c r="BK33" i="1"/>
  <c r="BK34" i="1"/>
  <c r="GO39" i="1"/>
  <c r="BH40" i="1"/>
  <c r="BK41" i="1"/>
  <c r="BK44" i="1"/>
  <c r="GO47" i="1"/>
  <c r="GO49" i="1"/>
  <c r="BK50" i="1"/>
  <c r="GO51" i="1"/>
  <c r="BK53" i="1"/>
  <c r="BK54" i="1"/>
  <c r="BK55" i="1"/>
  <c r="GO56" i="1"/>
  <c r="GO58" i="1"/>
  <c r="GO63" i="1"/>
  <c r="GO71" i="1"/>
  <c r="BG75" i="1"/>
  <c r="BI75" i="1" s="1"/>
  <c r="BK76" i="1"/>
  <c r="BK83" i="1"/>
  <c r="BH86" i="1"/>
  <c r="GO88" i="1"/>
  <c r="BK91" i="1"/>
  <c r="MH10" i="1"/>
  <c r="MT10" i="1"/>
  <c r="BG51" i="1"/>
  <c r="BI51" i="1" s="1"/>
  <c r="LV26" i="1"/>
  <c r="MB25" i="1"/>
  <c r="MH35" i="1"/>
  <c r="MN25" i="1"/>
  <c r="MT55" i="1"/>
  <c r="MZ38" i="1"/>
  <c r="NF41" i="1"/>
  <c r="BK9" i="1"/>
  <c r="BK11" i="1"/>
  <c r="LS14" i="1"/>
  <c r="MQ14" i="1"/>
  <c r="NC14" i="1"/>
  <c r="BG12" i="1"/>
  <c r="BI12" i="1" s="1"/>
  <c r="BG14" i="1"/>
  <c r="BI14" i="1" s="1"/>
  <c r="LS29" i="1"/>
  <c r="BH17" i="1"/>
  <c r="BG18" i="1"/>
  <c r="BI18" i="1" s="1"/>
  <c r="BH24" i="1"/>
  <c r="MZ24" i="1"/>
  <c r="BG32" i="1"/>
  <c r="BI32" i="1" s="1"/>
  <c r="BG40" i="1"/>
  <c r="BI40" i="1" s="1"/>
  <c r="BG42" i="1"/>
  <c r="BI42" i="1" s="1"/>
  <c r="BH47" i="1"/>
  <c r="BH49" i="1"/>
  <c r="BG52" i="1"/>
  <c r="BI52" i="1" s="1"/>
  <c r="BG55" i="1"/>
  <c r="BI55" i="1" s="1"/>
  <c r="BK59" i="1"/>
  <c r="BH60" i="1"/>
  <c r="BH65" i="1"/>
  <c r="BH75" i="1"/>
  <c r="BH76" i="1"/>
  <c r="BH77" i="1"/>
  <c r="BH79" i="1"/>
  <c r="BH80" i="1"/>
  <c r="BK84" i="1"/>
  <c r="BH85" i="1"/>
  <c r="BG87" i="1"/>
  <c r="BI87" i="1" s="1"/>
  <c r="BH88" i="1"/>
  <c r="BK90" i="1"/>
  <c r="BH91" i="1"/>
  <c r="BK92" i="1"/>
  <c r="BH9" i="1"/>
  <c r="BH11" i="1"/>
  <c r="BH12" i="1"/>
  <c r="GO12" i="1"/>
  <c r="BH14" i="1"/>
  <c r="GO14" i="1"/>
  <c r="BG16" i="1"/>
  <c r="BI16" i="1" s="1"/>
  <c r="BK17" i="1"/>
  <c r="BG17" i="1"/>
  <c r="BI17" i="1" s="1"/>
  <c r="GO17" i="1"/>
  <c r="BK18" i="1"/>
  <c r="BK19" i="1"/>
  <c r="BH19" i="1"/>
  <c r="GO19" i="1"/>
  <c r="MN21" i="1"/>
  <c r="BK22" i="1"/>
  <c r="BH23" i="1"/>
  <c r="BK24" i="1"/>
  <c r="ME29" i="1"/>
  <c r="BG26" i="1"/>
  <c r="BI26" i="1" s="1"/>
  <c r="GO26" i="1"/>
  <c r="BG27" i="1"/>
  <c r="BI27" i="1" s="1"/>
  <c r="MQ29" i="1"/>
  <c r="BG30" i="1"/>
  <c r="BI30" i="1" s="1"/>
  <c r="BK32" i="1"/>
  <c r="BK35" i="1"/>
  <c r="BG37" i="1"/>
  <c r="BI37" i="1" s="1"/>
  <c r="BK38" i="1"/>
  <c r="BK42" i="1"/>
  <c r="BG43" i="1"/>
  <c r="BI43" i="1" s="1"/>
  <c r="BH48" i="1"/>
  <c r="BG54" i="1"/>
  <c r="BI54" i="1" s="1"/>
  <c r="BK56" i="1"/>
  <c r="BH57" i="1"/>
  <c r="BK58" i="1"/>
  <c r="BH58" i="1"/>
  <c r="BH59" i="1"/>
  <c r="BK61" i="1"/>
  <c r="BK67" i="1"/>
  <c r="BG68" i="1"/>
  <c r="BI68" i="1" s="1"/>
  <c r="BH69" i="1"/>
  <c r="GO69" i="1"/>
  <c r="BK74" i="1"/>
  <c r="GO77" i="1"/>
  <c r="GO79" i="1"/>
  <c r="BK81" i="1"/>
  <c r="BK82" i="1"/>
  <c r="GO85" i="1"/>
  <c r="BK87" i="1"/>
  <c r="BK88" i="1"/>
  <c r="BH90" i="1"/>
  <c r="BG92" i="1"/>
  <c r="BI92" i="1" s="1"/>
  <c r="BH92" i="1"/>
  <c r="BG93" i="1"/>
  <c r="BI93" i="1" s="1"/>
  <c r="GO93" i="1"/>
  <c r="NC53" i="1"/>
  <c r="BH81" i="1"/>
  <c r="MQ45" i="1"/>
  <c r="LV10" i="1"/>
  <c r="NF10" i="1"/>
  <c r="BH41" i="1"/>
  <c r="GO8" i="1"/>
  <c r="BH13" i="1"/>
  <c r="GO13" i="1"/>
  <c r="BG15" i="1"/>
  <c r="BI15" i="1" s="1"/>
  <c r="GO15" i="1"/>
  <c r="BH20" i="1"/>
  <c r="GO21" i="1"/>
  <c r="GO22" i="1"/>
  <c r="BH25" i="1"/>
  <c r="GO25" i="1"/>
  <c r="MQ26" i="1"/>
  <c r="BG28" i="1"/>
  <c r="BI28" i="1" s="1"/>
  <c r="NC29" i="1"/>
  <c r="BG33" i="1"/>
  <c r="BI33" i="1" s="1"/>
  <c r="GO35" i="1"/>
  <c r="GO38" i="1"/>
  <c r="BG39" i="1"/>
  <c r="BI39" i="1" s="1"/>
  <c r="BG41" i="1"/>
  <c r="BI41" i="1" s="1"/>
  <c r="GO41" i="1"/>
  <c r="GO42" i="1"/>
  <c r="BH44" i="1"/>
  <c r="BK47" i="1"/>
  <c r="BG50" i="1"/>
  <c r="BI50" i="1" s="1"/>
  <c r="GO57" i="1"/>
  <c r="GO59" i="1"/>
  <c r="BG60" i="1"/>
  <c r="BI60" i="1" s="1"/>
  <c r="GO61" i="1"/>
  <c r="BH63" i="1"/>
  <c r="BH64" i="1"/>
  <c r="GO67" i="1"/>
  <c r="BG72" i="1"/>
  <c r="BI72" i="1" s="1"/>
  <c r="BH73" i="1"/>
  <c r="GO74" i="1"/>
  <c r="GO78" i="1"/>
  <c r="BG80" i="1"/>
  <c r="BI80" i="1" s="1"/>
  <c r="BH82" i="1"/>
  <c r="BG88" i="1"/>
  <c r="BI88" i="1" s="1"/>
  <c r="BG91" i="1"/>
  <c r="BI91" i="1" s="1"/>
  <c r="LP91" i="1"/>
  <c r="LP85" i="1"/>
  <c r="LP79" i="1"/>
  <c r="LP73" i="1"/>
  <c r="LP67" i="1"/>
  <c r="LP61" i="1"/>
  <c r="LP90" i="1"/>
  <c r="LP84" i="1"/>
  <c r="LP78" i="1"/>
  <c r="LP72" i="1"/>
  <c r="LP89" i="1"/>
  <c r="LP83" i="1"/>
  <c r="LP77" i="1"/>
  <c r="LP71" i="1"/>
  <c r="LP94" i="1"/>
  <c r="LP66" i="1"/>
  <c r="LP26" i="1"/>
  <c r="LP59" i="1"/>
  <c r="LP40" i="1"/>
  <c r="LP45" i="1"/>
  <c r="LP39" i="1"/>
  <c r="LP92" i="1"/>
  <c r="LP69" i="1"/>
  <c r="LP62" i="1"/>
  <c r="LP44" i="1"/>
  <c r="LP30" i="1"/>
  <c r="LP27" i="1"/>
  <c r="LP93" i="1"/>
  <c r="LP88" i="1"/>
  <c r="LP75" i="1"/>
  <c r="LP63" i="1"/>
  <c r="LP54" i="1"/>
  <c r="LP42" i="1"/>
  <c r="LP87" i="1"/>
  <c r="LP80" i="1"/>
  <c r="LP64" i="1"/>
  <c r="LP60" i="1"/>
  <c r="LP55" i="1"/>
  <c r="LP48" i="1"/>
  <c r="LP41" i="1"/>
  <c r="LP56" i="1"/>
  <c r="LP47" i="1"/>
  <c r="LP46" i="1"/>
  <c r="LP43" i="1"/>
  <c r="LP50" i="1"/>
  <c r="LP49" i="1"/>
  <c r="LP36" i="1"/>
  <c r="LP28" i="1"/>
  <c r="LP70" i="1"/>
  <c r="LP65" i="1"/>
  <c r="LP57" i="1"/>
  <c r="LP35" i="1"/>
  <c r="LP86" i="1"/>
  <c r="LP76" i="1"/>
  <c r="LP52" i="1"/>
  <c r="LP37" i="1"/>
  <c r="LP82" i="1"/>
  <c r="LP68" i="1"/>
  <c r="LP58" i="1"/>
  <c r="LP81" i="1"/>
  <c r="LP74" i="1"/>
  <c r="LP32" i="1"/>
  <c r="LP38" i="1"/>
  <c r="LP31" i="1"/>
  <c r="LP29" i="1"/>
  <c r="LP22" i="1"/>
  <c r="LP17" i="1"/>
  <c r="LP34" i="1"/>
  <c r="LP15" i="1"/>
  <c r="LP13" i="1"/>
  <c r="LP12" i="1"/>
  <c r="LP11" i="1"/>
  <c r="LP18" i="1"/>
  <c r="LP16" i="1"/>
  <c r="LP14" i="1"/>
  <c r="LP23" i="1"/>
  <c r="LP10" i="1"/>
  <c r="LP9" i="1"/>
  <c r="LP8" i="1"/>
  <c r="LP51" i="1"/>
  <c r="LP19" i="1"/>
  <c r="LP24" i="1"/>
  <c r="LP53" i="1"/>
  <c r="LP25" i="1"/>
  <c r="LP20" i="1"/>
  <c r="LP33" i="1"/>
  <c r="LP21" i="1"/>
  <c r="ME14" i="1"/>
  <c r="MB21" i="1"/>
  <c r="LV14" i="1"/>
  <c r="MH14" i="1"/>
  <c r="MT14" i="1"/>
  <c r="NF14" i="1"/>
  <c r="LV16" i="1"/>
  <c r="MH16" i="1"/>
  <c r="MT16" i="1"/>
  <c r="NF16" i="1"/>
  <c r="LV18" i="1"/>
  <c r="MH18" i="1"/>
  <c r="MT18" i="1"/>
  <c r="NF18" i="1"/>
  <c r="MQ31" i="1"/>
  <c r="NC31" i="1"/>
  <c r="LV34" i="1"/>
  <c r="MH36" i="1"/>
  <c r="MT41" i="1"/>
  <c r="MH42" i="1"/>
  <c r="MH55" i="1"/>
  <c r="LY93" i="1"/>
  <c r="LY87" i="1"/>
  <c r="LY81" i="1"/>
  <c r="LY75" i="1"/>
  <c r="LY69" i="1"/>
  <c r="LY63" i="1"/>
  <c r="LY92" i="1"/>
  <c r="LY86" i="1"/>
  <c r="LY80" i="1"/>
  <c r="LY74" i="1"/>
  <c r="LY68" i="1"/>
  <c r="LY62" i="1"/>
  <c r="LY91" i="1"/>
  <c r="LY85" i="1"/>
  <c r="LY79" i="1"/>
  <c r="LY90" i="1"/>
  <c r="LY84" i="1"/>
  <c r="LY89" i="1"/>
  <c r="LY94" i="1"/>
  <c r="LY88" i="1"/>
  <c r="LY70" i="1"/>
  <c r="LY65" i="1"/>
  <c r="LY57" i="1"/>
  <c r="LY52" i="1"/>
  <c r="LY37" i="1"/>
  <c r="LY76" i="1"/>
  <c r="LY83" i="1"/>
  <c r="LY72" i="1"/>
  <c r="LY58" i="1"/>
  <c r="LY53" i="1"/>
  <c r="LY51" i="1"/>
  <c r="LY82" i="1"/>
  <c r="LY61" i="1"/>
  <c r="LY26" i="1"/>
  <c r="LY66" i="1"/>
  <c r="LY40" i="1"/>
  <c r="LY78" i="1"/>
  <c r="LY71" i="1"/>
  <c r="LY59" i="1"/>
  <c r="LY45" i="1"/>
  <c r="LY39" i="1"/>
  <c r="LY77" i="1"/>
  <c r="LY44" i="1"/>
  <c r="LY30" i="1"/>
  <c r="LY54" i="1"/>
  <c r="LY42" i="1"/>
  <c r="LY24" i="1"/>
  <c r="LY55" i="1"/>
  <c r="LY48" i="1"/>
  <c r="LY41" i="1"/>
  <c r="LY64" i="1"/>
  <c r="LY60" i="1"/>
  <c r="LY56" i="1"/>
  <c r="LY47" i="1"/>
  <c r="LY46" i="1"/>
  <c r="LY43" i="1"/>
  <c r="LY67" i="1"/>
  <c r="LY50" i="1"/>
  <c r="LY49" i="1"/>
  <c r="LY73" i="1"/>
  <c r="MK93" i="1"/>
  <c r="MK87" i="1"/>
  <c r="MK81" i="1"/>
  <c r="MK75" i="1"/>
  <c r="MK69" i="1"/>
  <c r="MK63" i="1"/>
  <c r="MK92" i="1"/>
  <c r="MK86" i="1"/>
  <c r="MK80" i="1"/>
  <c r="MK74" i="1"/>
  <c r="MK68" i="1"/>
  <c r="MK62" i="1"/>
  <c r="MK91" i="1"/>
  <c r="MK85" i="1"/>
  <c r="MK79" i="1"/>
  <c r="MK90" i="1"/>
  <c r="MK84" i="1"/>
  <c r="MK89" i="1"/>
  <c r="MK94" i="1"/>
  <c r="MK88" i="1"/>
  <c r="MK73" i="1"/>
  <c r="MK52" i="1"/>
  <c r="MK37" i="1"/>
  <c r="MK70" i="1"/>
  <c r="MK65" i="1"/>
  <c r="MK57" i="1"/>
  <c r="MK76" i="1"/>
  <c r="MK51" i="1"/>
  <c r="MK58" i="1"/>
  <c r="MK53" i="1"/>
  <c r="MK26" i="1"/>
  <c r="MK83" i="1"/>
  <c r="MK72" i="1"/>
  <c r="MK61" i="1"/>
  <c r="MK40" i="1"/>
  <c r="MK82" i="1"/>
  <c r="MK66" i="1"/>
  <c r="MK45" i="1"/>
  <c r="MK39" i="1"/>
  <c r="MK59" i="1"/>
  <c r="MK44" i="1"/>
  <c r="MK30" i="1"/>
  <c r="MK78" i="1"/>
  <c r="MK71" i="1"/>
  <c r="MK54" i="1"/>
  <c r="MK42" i="1"/>
  <c r="MK24" i="1"/>
  <c r="MK77" i="1"/>
  <c r="MK55" i="1"/>
  <c r="MK48" i="1"/>
  <c r="MK41" i="1"/>
  <c r="MK56" i="1"/>
  <c r="MK47" i="1"/>
  <c r="MK46" i="1"/>
  <c r="MK43" i="1"/>
  <c r="MK64" i="1"/>
  <c r="MK60" i="1"/>
  <c r="MK50" i="1"/>
  <c r="MK49" i="1"/>
  <c r="MK67" i="1"/>
  <c r="MW93" i="1"/>
  <c r="MW87" i="1"/>
  <c r="MW81" i="1"/>
  <c r="MW75" i="1"/>
  <c r="MW69" i="1"/>
  <c r="MW63" i="1"/>
  <c r="MW92" i="1"/>
  <c r="MW86" i="1"/>
  <c r="MW80" i="1"/>
  <c r="MW74" i="1"/>
  <c r="MW68" i="1"/>
  <c r="MW62" i="1"/>
  <c r="MW91" i="1"/>
  <c r="MW85" i="1"/>
  <c r="MW79" i="1"/>
  <c r="MW90" i="1"/>
  <c r="MW84" i="1"/>
  <c r="MW89" i="1"/>
  <c r="MW94" i="1"/>
  <c r="MW88" i="1"/>
  <c r="MW67" i="1"/>
  <c r="MW52" i="1"/>
  <c r="MW37" i="1"/>
  <c r="MW73" i="1"/>
  <c r="MW70" i="1"/>
  <c r="MW65" i="1"/>
  <c r="MW57" i="1"/>
  <c r="MW51" i="1"/>
  <c r="MW76" i="1"/>
  <c r="MW26" i="1"/>
  <c r="MW58" i="1"/>
  <c r="MW53" i="1"/>
  <c r="MW40" i="1"/>
  <c r="MW61" i="1"/>
  <c r="MW45" i="1"/>
  <c r="MW39" i="1"/>
  <c r="MW83" i="1"/>
  <c r="MW72" i="1"/>
  <c r="MW66" i="1"/>
  <c r="MW44" i="1"/>
  <c r="MW30" i="1"/>
  <c r="MW82" i="1"/>
  <c r="MW59" i="1"/>
  <c r="MW54" i="1"/>
  <c r="MW42" i="1"/>
  <c r="MW24" i="1"/>
  <c r="MW55" i="1"/>
  <c r="MW48" i="1"/>
  <c r="MW41" i="1"/>
  <c r="MW78" i="1"/>
  <c r="MW71" i="1"/>
  <c r="MW56" i="1"/>
  <c r="MW47" i="1"/>
  <c r="MW46" i="1"/>
  <c r="MW43" i="1"/>
  <c r="MW77" i="1"/>
  <c r="MW50" i="1"/>
  <c r="MW49" i="1"/>
  <c r="MW64" i="1"/>
  <c r="MW60" i="1"/>
  <c r="LV11" i="1"/>
  <c r="MH11" i="1"/>
  <c r="MT11" i="1"/>
  <c r="NF11" i="1"/>
  <c r="LV12" i="1"/>
  <c r="MH12" i="1"/>
  <c r="MT12" i="1"/>
  <c r="NF12" i="1"/>
  <c r="LV13" i="1"/>
  <c r="MH13" i="1"/>
  <c r="MT13" i="1"/>
  <c r="NF13" i="1"/>
  <c r="LV15" i="1"/>
  <c r="MH15" i="1"/>
  <c r="MT15" i="1"/>
  <c r="NF15" i="1"/>
  <c r="LY19" i="1"/>
  <c r="MK19" i="1"/>
  <c r="MW19" i="1"/>
  <c r="MN24" i="1"/>
  <c r="BG25" i="1"/>
  <c r="BI25" i="1" s="1"/>
  <c r="NF26" i="1"/>
  <c r="NF27" i="1"/>
  <c r="NC28" i="1"/>
  <c r="LS31" i="1"/>
  <c r="ME31" i="1"/>
  <c r="MQ32" i="1"/>
  <c r="NC32" i="1"/>
  <c r="MB33" i="1"/>
  <c r="MN33" i="1"/>
  <c r="MZ33" i="1"/>
  <c r="MK34" i="1"/>
  <c r="LY35" i="1"/>
  <c r="MW36" i="1"/>
  <c r="NC39" i="1"/>
  <c r="NC40" i="1"/>
  <c r="NC45" i="1"/>
  <c r="MH48" i="1"/>
  <c r="MB51" i="1"/>
  <c r="LY8" i="1"/>
  <c r="MK8" i="1"/>
  <c r="MW8" i="1"/>
  <c r="LY9" i="1"/>
  <c r="MK9" i="1"/>
  <c r="MW9" i="1"/>
  <c r="LY10" i="1"/>
  <c r="MK10" i="1"/>
  <c r="MW10" i="1"/>
  <c r="LV17" i="1"/>
  <c r="MH17" i="1"/>
  <c r="MT17" i="1"/>
  <c r="NF17" i="1"/>
  <c r="MB20" i="1"/>
  <c r="MN20" i="1"/>
  <c r="MZ20" i="1"/>
  <c r="LV22" i="1"/>
  <c r="MH22" i="1"/>
  <c r="MT22" i="1"/>
  <c r="NF22" i="1"/>
  <c r="LY23" i="1"/>
  <c r="MK23" i="1"/>
  <c r="MW23" i="1"/>
  <c r="MB24" i="1"/>
  <c r="MZ25" i="1"/>
  <c r="MQ28" i="1"/>
  <c r="LV30" i="1"/>
  <c r="LS32" i="1"/>
  <c r="ME32" i="1"/>
  <c r="LV36" i="1"/>
  <c r="LY14" i="1"/>
  <c r="MK14" i="1"/>
  <c r="MW14" i="1"/>
  <c r="LY16" i="1"/>
  <c r="MK16" i="1"/>
  <c r="MW16" i="1"/>
  <c r="LY18" i="1"/>
  <c r="MK18" i="1"/>
  <c r="MW18" i="1"/>
  <c r="BG21" i="1"/>
  <c r="BI21" i="1" s="1"/>
  <c r="LS21" i="1"/>
  <c r="ME21" i="1"/>
  <c r="MQ21" i="1"/>
  <c r="NC21" i="1"/>
  <c r="NC24" i="1"/>
  <c r="ME26" i="1"/>
  <c r="MT26" i="1"/>
  <c r="MT27" i="1"/>
  <c r="ME28" i="1"/>
  <c r="MT31" i="1"/>
  <c r="NF31" i="1"/>
  <c r="LY34" i="1"/>
  <c r="NF35" i="1"/>
  <c r="MK36" i="1"/>
  <c r="MK38" i="1"/>
  <c r="MH41" i="1"/>
  <c r="LV42" i="1"/>
  <c r="BH53" i="1"/>
  <c r="BG53" i="1"/>
  <c r="BI53" i="1" s="1"/>
  <c r="LV55" i="1"/>
  <c r="MB53" i="1"/>
  <c r="MB91" i="1"/>
  <c r="MB85" i="1"/>
  <c r="MB79" i="1"/>
  <c r="MB73" i="1"/>
  <c r="MB67" i="1"/>
  <c r="MB61" i="1"/>
  <c r="MB90" i="1"/>
  <c r="MB84" i="1"/>
  <c r="MB78" i="1"/>
  <c r="MB72" i="1"/>
  <c r="MB89" i="1"/>
  <c r="MB83" i="1"/>
  <c r="MB77" i="1"/>
  <c r="MB71" i="1"/>
  <c r="MB94" i="1"/>
  <c r="MB82" i="1"/>
  <c r="MB68" i="1"/>
  <c r="MB26" i="1"/>
  <c r="MB74" i="1"/>
  <c r="MB66" i="1"/>
  <c r="MB40" i="1"/>
  <c r="MB81" i="1"/>
  <c r="MB59" i="1"/>
  <c r="MB45" i="1"/>
  <c r="MB39" i="1"/>
  <c r="MB44" i="1"/>
  <c r="MB30" i="1"/>
  <c r="MB27" i="1"/>
  <c r="MB62" i="1"/>
  <c r="MB54" i="1"/>
  <c r="MB42" i="1"/>
  <c r="MB69" i="1"/>
  <c r="MB63" i="1"/>
  <c r="MB55" i="1"/>
  <c r="MB48" i="1"/>
  <c r="MB41" i="1"/>
  <c r="MB92" i="1"/>
  <c r="MB75" i="1"/>
  <c r="MB64" i="1"/>
  <c r="MB60" i="1"/>
  <c r="MB56" i="1"/>
  <c r="MB47" i="1"/>
  <c r="MB46" i="1"/>
  <c r="MB43" i="1"/>
  <c r="MB93" i="1"/>
  <c r="MB88" i="1"/>
  <c r="MB80" i="1"/>
  <c r="MB50" i="1"/>
  <c r="MB49" i="1"/>
  <c r="MB36" i="1"/>
  <c r="MB28" i="1"/>
  <c r="MB87" i="1"/>
  <c r="MB35" i="1"/>
  <c r="MB34" i="1"/>
  <c r="MB70" i="1"/>
  <c r="MB65" i="1"/>
  <c r="MB57" i="1"/>
  <c r="MB52" i="1"/>
  <c r="MB37" i="1"/>
  <c r="MB76" i="1"/>
  <c r="MB86" i="1"/>
  <c r="MB58" i="1"/>
  <c r="MN53" i="1"/>
  <c r="MN91" i="1"/>
  <c r="MN85" i="1"/>
  <c r="MN79" i="1"/>
  <c r="MN73" i="1"/>
  <c r="MN67" i="1"/>
  <c r="MN61" i="1"/>
  <c r="MN90" i="1"/>
  <c r="MN84" i="1"/>
  <c r="MN78" i="1"/>
  <c r="MN72" i="1"/>
  <c r="MN89" i="1"/>
  <c r="MN83" i="1"/>
  <c r="MN77" i="1"/>
  <c r="MN71" i="1"/>
  <c r="MN94" i="1"/>
  <c r="MN58" i="1"/>
  <c r="MN26" i="1"/>
  <c r="MN86" i="1"/>
  <c r="MN40" i="1"/>
  <c r="MN82" i="1"/>
  <c r="MN68" i="1"/>
  <c r="MN66" i="1"/>
  <c r="MN45" i="1"/>
  <c r="MN39" i="1"/>
  <c r="MN74" i="1"/>
  <c r="MN59" i="1"/>
  <c r="MN44" i="1"/>
  <c r="MN30" i="1"/>
  <c r="MN27" i="1"/>
  <c r="MN54" i="1"/>
  <c r="MN42" i="1"/>
  <c r="MN81" i="1"/>
  <c r="MN62" i="1"/>
  <c r="MN55" i="1"/>
  <c r="MN48" i="1"/>
  <c r="MN41" i="1"/>
  <c r="MN63" i="1"/>
  <c r="MN56" i="1"/>
  <c r="MN47" i="1"/>
  <c r="MN46" i="1"/>
  <c r="MN43" i="1"/>
  <c r="MN69" i="1"/>
  <c r="MN64" i="1"/>
  <c r="MN60" i="1"/>
  <c r="MN50" i="1"/>
  <c r="MN49" i="1"/>
  <c r="MN36" i="1"/>
  <c r="MN28" i="1"/>
  <c r="MN75" i="1"/>
  <c r="MN35" i="1"/>
  <c r="MN34" i="1"/>
  <c r="MN92" i="1"/>
  <c r="MN80" i="1"/>
  <c r="MN52" i="1"/>
  <c r="MN37" i="1"/>
  <c r="MN93" i="1"/>
  <c r="MN88" i="1"/>
  <c r="MN70" i="1"/>
  <c r="MN65" i="1"/>
  <c r="MN57" i="1"/>
  <c r="MN87" i="1"/>
  <c r="MN76" i="1"/>
  <c r="MZ53" i="1"/>
  <c r="MZ91" i="1"/>
  <c r="MZ85" i="1"/>
  <c r="MZ79" i="1"/>
  <c r="MZ73" i="1"/>
  <c r="MZ67" i="1"/>
  <c r="MZ61" i="1"/>
  <c r="MZ90" i="1"/>
  <c r="MZ84" i="1"/>
  <c r="MZ78" i="1"/>
  <c r="MZ72" i="1"/>
  <c r="MZ89" i="1"/>
  <c r="MZ83" i="1"/>
  <c r="MZ77" i="1"/>
  <c r="MZ71" i="1"/>
  <c r="MZ94" i="1"/>
  <c r="MZ92" i="1"/>
  <c r="MZ76" i="1"/>
  <c r="MZ26" i="1"/>
  <c r="MZ93" i="1"/>
  <c r="MZ88" i="1"/>
  <c r="MZ58" i="1"/>
  <c r="MZ40" i="1"/>
  <c r="MZ87" i="1"/>
  <c r="MZ45" i="1"/>
  <c r="MZ39" i="1"/>
  <c r="MZ86" i="1"/>
  <c r="MZ66" i="1"/>
  <c r="MZ44" i="1"/>
  <c r="MZ30" i="1"/>
  <c r="MZ27" i="1"/>
  <c r="MZ82" i="1"/>
  <c r="MZ68" i="1"/>
  <c r="MZ59" i="1"/>
  <c r="MZ54" i="1"/>
  <c r="MZ42" i="1"/>
  <c r="MZ74" i="1"/>
  <c r="MZ55" i="1"/>
  <c r="MZ48" i="1"/>
  <c r="MZ41" i="1"/>
  <c r="MZ62" i="1"/>
  <c r="MZ56" i="1"/>
  <c r="MZ47" i="1"/>
  <c r="MZ46" i="1"/>
  <c r="MZ43" i="1"/>
  <c r="MZ63" i="1"/>
  <c r="MZ50" i="1"/>
  <c r="MZ49" i="1"/>
  <c r="MZ36" i="1"/>
  <c r="MZ28" i="1"/>
  <c r="MZ81" i="1"/>
  <c r="MZ64" i="1"/>
  <c r="MZ60" i="1"/>
  <c r="MZ35" i="1"/>
  <c r="MZ34" i="1"/>
  <c r="MZ69" i="1"/>
  <c r="MZ52" i="1"/>
  <c r="MZ37" i="1"/>
  <c r="MZ75" i="1"/>
  <c r="MZ80" i="1"/>
  <c r="MZ70" i="1"/>
  <c r="MZ65" i="1"/>
  <c r="LY11" i="1"/>
  <c r="MK11" i="1"/>
  <c r="MW11" i="1"/>
  <c r="LY12" i="1"/>
  <c r="MK12" i="1"/>
  <c r="MW12" i="1"/>
  <c r="LY13" i="1"/>
  <c r="MK13" i="1"/>
  <c r="MW13" i="1"/>
  <c r="LY15" i="1"/>
  <c r="MK15" i="1"/>
  <c r="MW15" i="1"/>
  <c r="MB19" i="1"/>
  <c r="MN19" i="1"/>
  <c r="MZ19" i="1"/>
  <c r="MQ24" i="1"/>
  <c r="LS28" i="1"/>
  <c r="NF28" i="1"/>
  <c r="LV29" i="1"/>
  <c r="MH29" i="1"/>
  <c r="MT29" i="1"/>
  <c r="NF29" i="1"/>
  <c r="LV31" i="1"/>
  <c r="MH31" i="1"/>
  <c r="MT32" i="1"/>
  <c r="NF32" i="1"/>
  <c r="LS33" i="1"/>
  <c r="ME33" i="1"/>
  <c r="MQ33" i="1"/>
  <c r="MQ39" i="1"/>
  <c r="MQ40" i="1"/>
  <c r="LV48" i="1"/>
  <c r="MB8" i="1"/>
  <c r="MN8" i="1"/>
  <c r="MZ8" i="1"/>
  <c r="MB9" i="1"/>
  <c r="MN9" i="1"/>
  <c r="MZ9" i="1"/>
  <c r="MB10" i="1"/>
  <c r="MN10" i="1"/>
  <c r="MZ10" i="1"/>
  <c r="LY17" i="1"/>
  <c r="MK17" i="1"/>
  <c r="MW17" i="1"/>
  <c r="LS20" i="1"/>
  <c r="ME20" i="1"/>
  <c r="MQ20" i="1"/>
  <c r="NC20" i="1"/>
  <c r="LY22" i="1"/>
  <c r="MK22" i="1"/>
  <c r="MW22" i="1"/>
  <c r="MB23" i="1"/>
  <c r="MN23" i="1"/>
  <c r="MZ23" i="1"/>
  <c r="ME24" i="1"/>
  <c r="LS25" i="1"/>
  <c r="MQ25" i="1"/>
  <c r="NC25" i="1"/>
  <c r="LS26" i="1"/>
  <c r="MH26" i="1"/>
  <c r="MH27" i="1"/>
  <c r="MT28" i="1"/>
  <c r="NF30" i="1"/>
  <c r="LV32" i="1"/>
  <c r="MH32" i="1"/>
  <c r="NF34" i="1"/>
  <c r="BH35" i="1"/>
  <c r="BG35" i="1"/>
  <c r="BI35" i="1" s="1"/>
  <c r="MT35" i="1"/>
  <c r="LY36" i="1"/>
  <c r="LY38" i="1"/>
  <c r="NF55" i="1"/>
  <c r="BG8" i="1"/>
  <c r="BI8" i="1" s="1"/>
  <c r="BG9" i="1"/>
  <c r="BI9" i="1" s="1"/>
  <c r="MB14" i="1"/>
  <c r="MN14" i="1"/>
  <c r="MZ14" i="1"/>
  <c r="MB16" i="1"/>
  <c r="MN16" i="1"/>
  <c r="MZ16" i="1"/>
  <c r="MB18" i="1"/>
  <c r="MN18" i="1"/>
  <c r="MZ18" i="1"/>
  <c r="LV21" i="1"/>
  <c r="MH21" i="1"/>
  <c r="MT21" i="1"/>
  <c r="NF21" i="1"/>
  <c r="BG24" i="1"/>
  <c r="BI24" i="1" s="1"/>
  <c r="NF24" i="1"/>
  <c r="MW27" i="1"/>
  <c r="MH28" i="1"/>
  <c r="MW31" i="1"/>
  <c r="BH32" i="1"/>
  <c r="NF33" i="1"/>
  <c r="BH34" i="1"/>
  <c r="BG34" i="1"/>
  <c r="BI34" i="1" s="1"/>
  <c r="MN38" i="1"/>
  <c r="LV41" i="1"/>
  <c r="NF42" i="1"/>
  <c r="LS90" i="1"/>
  <c r="LS84" i="1"/>
  <c r="LS78" i="1"/>
  <c r="LS72" i="1"/>
  <c r="LS66" i="1"/>
  <c r="LS60" i="1"/>
  <c r="LS57" i="1"/>
  <c r="LS89" i="1"/>
  <c r="LS83" i="1"/>
  <c r="LS77" i="1"/>
  <c r="LS71" i="1"/>
  <c r="LS65" i="1"/>
  <c r="LS59" i="1"/>
  <c r="LS94" i="1"/>
  <c r="LS88" i="1"/>
  <c r="LS82" i="1"/>
  <c r="LS93" i="1"/>
  <c r="LS87" i="1"/>
  <c r="LS81" i="1"/>
  <c r="LS92" i="1"/>
  <c r="LS91" i="1"/>
  <c r="LS85" i="1"/>
  <c r="LS69" i="1"/>
  <c r="LS62" i="1"/>
  <c r="LS44" i="1"/>
  <c r="LS30" i="1"/>
  <c r="LS27" i="1"/>
  <c r="LS75" i="1"/>
  <c r="LS63" i="1"/>
  <c r="LS54" i="1"/>
  <c r="LS42" i="1"/>
  <c r="LS80" i="1"/>
  <c r="LS64" i="1"/>
  <c r="LS55" i="1"/>
  <c r="LS48" i="1"/>
  <c r="LS41" i="1"/>
  <c r="LS56" i="1"/>
  <c r="LS47" i="1"/>
  <c r="LS46" i="1"/>
  <c r="LS43" i="1"/>
  <c r="LS67" i="1"/>
  <c r="LS50" i="1"/>
  <c r="LS49" i="1"/>
  <c r="LS36" i="1"/>
  <c r="LS73" i="1"/>
  <c r="LS70" i="1"/>
  <c r="LS35" i="1"/>
  <c r="LS34" i="1"/>
  <c r="LS86" i="1"/>
  <c r="LS76" i="1"/>
  <c r="LS52" i="1"/>
  <c r="LS37" i="1"/>
  <c r="LS68" i="1"/>
  <c r="LS58" i="1"/>
  <c r="LS79" i="1"/>
  <c r="LS74" i="1"/>
  <c r="LS53" i="1"/>
  <c r="LS51" i="1"/>
  <c r="LS38" i="1"/>
  <c r="LS61" i="1"/>
  <c r="ME90" i="1"/>
  <c r="ME84" i="1"/>
  <c r="ME78" i="1"/>
  <c r="ME72" i="1"/>
  <c r="ME66" i="1"/>
  <c r="ME60" i="1"/>
  <c r="ME57" i="1"/>
  <c r="ME89" i="1"/>
  <c r="ME83" i="1"/>
  <c r="ME77" i="1"/>
  <c r="ME71" i="1"/>
  <c r="ME65" i="1"/>
  <c r="ME59" i="1"/>
  <c r="ME94" i="1"/>
  <c r="ME88" i="1"/>
  <c r="ME82" i="1"/>
  <c r="ME93" i="1"/>
  <c r="ME87" i="1"/>
  <c r="ME81" i="1"/>
  <c r="ME92" i="1"/>
  <c r="ME91" i="1"/>
  <c r="ME85" i="1"/>
  <c r="ME44" i="1"/>
  <c r="ME30" i="1"/>
  <c r="ME27" i="1"/>
  <c r="ME62" i="1"/>
  <c r="ME54" i="1"/>
  <c r="ME42" i="1"/>
  <c r="ME69" i="1"/>
  <c r="ME63" i="1"/>
  <c r="ME55" i="1"/>
  <c r="ME48" i="1"/>
  <c r="ME41" i="1"/>
  <c r="ME75" i="1"/>
  <c r="ME64" i="1"/>
  <c r="ME56" i="1"/>
  <c r="ME47" i="1"/>
  <c r="ME46" i="1"/>
  <c r="ME43" i="1"/>
  <c r="ME80" i="1"/>
  <c r="ME50" i="1"/>
  <c r="ME49" i="1"/>
  <c r="ME36" i="1"/>
  <c r="ME67" i="1"/>
  <c r="ME35" i="1"/>
  <c r="ME34" i="1"/>
  <c r="ME73" i="1"/>
  <c r="ME70" i="1"/>
  <c r="ME52" i="1"/>
  <c r="ME37" i="1"/>
  <c r="ME76" i="1"/>
  <c r="ME86" i="1"/>
  <c r="ME58" i="1"/>
  <c r="ME51" i="1"/>
  <c r="ME38" i="1"/>
  <c r="ME68" i="1"/>
  <c r="ME53" i="1"/>
  <c r="ME79" i="1"/>
  <c r="ME74" i="1"/>
  <c r="ME61" i="1"/>
  <c r="MQ90" i="1"/>
  <c r="MQ84" i="1"/>
  <c r="MQ78" i="1"/>
  <c r="MQ72" i="1"/>
  <c r="MQ66" i="1"/>
  <c r="MQ60" i="1"/>
  <c r="MQ57" i="1"/>
  <c r="MQ89" i="1"/>
  <c r="MQ83" i="1"/>
  <c r="MQ77" i="1"/>
  <c r="MQ71" i="1"/>
  <c r="MQ65" i="1"/>
  <c r="MQ59" i="1"/>
  <c r="MQ94" i="1"/>
  <c r="MQ88" i="1"/>
  <c r="MQ82" i="1"/>
  <c r="MQ93" i="1"/>
  <c r="MQ87" i="1"/>
  <c r="MQ81" i="1"/>
  <c r="MQ92" i="1"/>
  <c r="MQ91" i="1"/>
  <c r="MQ85" i="1"/>
  <c r="MQ79" i="1"/>
  <c r="MQ74" i="1"/>
  <c r="MQ44" i="1"/>
  <c r="MQ30" i="1"/>
  <c r="MQ27" i="1"/>
  <c r="MQ54" i="1"/>
  <c r="MQ42" i="1"/>
  <c r="MQ62" i="1"/>
  <c r="MQ55" i="1"/>
  <c r="MQ48" i="1"/>
  <c r="MQ41" i="1"/>
  <c r="MQ63" i="1"/>
  <c r="MQ56" i="1"/>
  <c r="MQ47" i="1"/>
  <c r="MQ46" i="1"/>
  <c r="MQ43" i="1"/>
  <c r="MQ69" i="1"/>
  <c r="MQ64" i="1"/>
  <c r="MQ50" i="1"/>
  <c r="MQ49" i="1"/>
  <c r="MQ36" i="1"/>
  <c r="MQ75" i="1"/>
  <c r="MQ35" i="1"/>
  <c r="MQ34" i="1"/>
  <c r="MQ80" i="1"/>
  <c r="MQ67" i="1"/>
  <c r="MQ52" i="1"/>
  <c r="MQ37" i="1"/>
  <c r="MQ73" i="1"/>
  <c r="MQ70" i="1"/>
  <c r="MQ76" i="1"/>
  <c r="MQ51" i="1"/>
  <c r="MQ38" i="1"/>
  <c r="MQ58" i="1"/>
  <c r="MQ86" i="1"/>
  <c r="MQ53" i="1"/>
  <c r="MQ68" i="1"/>
  <c r="MQ61" i="1"/>
  <c r="NC90" i="1"/>
  <c r="NC84" i="1"/>
  <c r="NC78" i="1"/>
  <c r="NC72" i="1"/>
  <c r="NC66" i="1"/>
  <c r="NC60" i="1"/>
  <c r="NC57" i="1"/>
  <c r="NC89" i="1"/>
  <c r="NC83" i="1"/>
  <c r="NC77" i="1"/>
  <c r="NC71" i="1"/>
  <c r="NC65" i="1"/>
  <c r="NC59" i="1"/>
  <c r="NC94" i="1"/>
  <c r="NC88" i="1"/>
  <c r="NC82" i="1"/>
  <c r="NC93" i="1"/>
  <c r="NC87" i="1"/>
  <c r="NC81" i="1"/>
  <c r="NC92" i="1"/>
  <c r="NC91" i="1"/>
  <c r="NC85" i="1"/>
  <c r="NC86" i="1"/>
  <c r="NC61" i="1"/>
  <c r="NC44" i="1"/>
  <c r="NC30" i="1"/>
  <c r="NC27" i="1"/>
  <c r="NC68" i="1"/>
  <c r="NC54" i="1"/>
  <c r="NC42" i="1"/>
  <c r="NC79" i="1"/>
  <c r="NC74" i="1"/>
  <c r="NC55" i="1"/>
  <c r="NC48" i="1"/>
  <c r="NC41" i="1"/>
  <c r="NC62" i="1"/>
  <c r="NC56" i="1"/>
  <c r="NC47" i="1"/>
  <c r="NC46" i="1"/>
  <c r="NC43" i="1"/>
  <c r="NC63" i="1"/>
  <c r="NC50" i="1"/>
  <c r="NC49" i="1"/>
  <c r="NC36" i="1"/>
  <c r="NC64" i="1"/>
  <c r="NC35" i="1"/>
  <c r="NC34" i="1"/>
  <c r="NC33" i="1"/>
  <c r="NC69" i="1"/>
  <c r="NC52" i="1"/>
  <c r="NC37" i="1"/>
  <c r="NC75" i="1"/>
  <c r="NC67" i="1"/>
  <c r="NC80" i="1"/>
  <c r="NC73" i="1"/>
  <c r="NC70" i="1"/>
  <c r="NC51" i="1"/>
  <c r="NC38" i="1"/>
  <c r="NC76" i="1"/>
  <c r="NC58" i="1"/>
  <c r="MB11" i="1"/>
  <c r="MN11" i="1"/>
  <c r="MZ11" i="1"/>
  <c r="MB12" i="1"/>
  <c r="MN12" i="1"/>
  <c r="MZ12" i="1"/>
  <c r="MB13" i="1"/>
  <c r="MN13" i="1"/>
  <c r="MZ13" i="1"/>
  <c r="MB15" i="1"/>
  <c r="MN15" i="1"/>
  <c r="MZ15" i="1"/>
  <c r="BG19" i="1"/>
  <c r="BI19" i="1" s="1"/>
  <c r="LS19" i="1"/>
  <c r="ME19" i="1"/>
  <c r="MQ19" i="1"/>
  <c r="NC19" i="1"/>
  <c r="MT24" i="1"/>
  <c r="LV27" i="1"/>
  <c r="LV28" i="1"/>
  <c r="BG29" i="1"/>
  <c r="BI29" i="1" s="1"/>
  <c r="LY29" i="1"/>
  <c r="MK29" i="1"/>
  <c r="MW29" i="1"/>
  <c r="BH30" i="1"/>
  <c r="BG31" i="1"/>
  <c r="BI31" i="1" s="1"/>
  <c r="LY31" i="1"/>
  <c r="MK31" i="1"/>
  <c r="MW32" i="1"/>
  <c r="LV33" i="1"/>
  <c r="MH33" i="1"/>
  <c r="MT33" i="1"/>
  <c r="MT34" i="1"/>
  <c r="ME39" i="1"/>
  <c r="ME40" i="1"/>
  <c r="NF48" i="1"/>
  <c r="MZ51" i="1"/>
  <c r="LS8" i="1"/>
  <c r="ME8" i="1"/>
  <c r="MQ8" i="1"/>
  <c r="NC8" i="1"/>
  <c r="LS9" i="1"/>
  <c r="ME9" i="1"/>
  <c r="MQ9" i="1"/>
  <c r="NC9" i="1"/>
  <c r="LS10" i="1"/>
  <c r="ME10" i="1"/>
  <c r="MQ10" i="1"/>
  <c r="NC10" i="1"/>
  <c r="MB17" i="1"/>
  <c r="MN17" i="1"/>
  <c r="MZ17" i="1"/>
  <c r="LV20" i="1"/>
  <c r="MH20" i="1"/>
  <c r="MT20" i="1"/>
  <c r="NF20" i="1"/>
  <c r="MB22" i="1"/>
  <c r="MN22" i="1"/>
  <c r="MZ22" i="1"/>
  <c r="LS23" i="1"/>
  <c r="ME23" i="1"/>
  <c r="MQ23" i="1"/>
  <c r="NC23" i="1"/>
  <c r="MH24" i="1"/>
  <c r="LV25" i="1"/>
  <c r="MH25" i="1"/>
  <c r="MT25" i="1"/>
  <c r="NF25" i="1"/>
  <c r="MK27" i="1"/>
  <c r="MW28" i="1"/>
  <c r="MT30" i="1"/>
  <c r="GO31" i="1"/>
  <c r="LY32" i="1"/>
  <c r="MK32" i="1"/>
  <c r="MW35" i="1"/>
  <c r="NF36" i="1"/>
  <c r="MB38" i="1"/>
  <c r="ME45" i="1"/>
  <c r="BH54" i="1"/>
  <c r="LS16" i="1"/>
  <c r="ME16" i="1"/>
  <c r="MQ16" i="1"/>
  <c r="NC16" i="1"/>
  <c r="LS18" i="1"/>
  <c r="ME18" i="1"/>
  <c r="MQ18" i="1"/>
  <c r="NC18" i="1"/>
  <c r="LY21" i="1"/>
  <c r="MK21" i="1"/>
  <c r="MW21" i="1"/>
  <c r="LV24" i="1"/>
  <c r="MK28" i="1"/>
  <c r="MN31" i="1"/>
  <c r="MZ31" i="1"/>
  <c r="BH39" i="1"/>
  <c r="MT42" i="1"/>
  <c r="MZ57" i="1"/>
  <c r="LV94" i="1"/>
  <c r="LV88" i="1"/>
  <c r="LV82" i="1"/>
  <c r="LV76" i="1"/>
  <c r="LV70" i="1"/>
  <c r="LV64" i="1"/>
  <c r="LV58" i="1"/>
  <c r="LV93" i="1"/>
  <c r="LV87" i="1"/>
  <c r="LV81" i="1"/>
  <c r="LV75" i="1"/>
  <c r="LV69" i="1"/>
  <c r="LV92" i="1"/>
  <c r="LV86" i="1"/>
  <c r="LV80" i="1"/>
  <c r="LV74" i="1"/>
  <c r="LV68" i="1"/>
  <c r="LV91" i="1"/>
  <c r="LV60" i="1"/>
  <c r="LV56" i="1"/>
  <c r="LV47" i="1"/>
  <c r="LV46" i="1"/>
  <c r="LV43" i="1"/>
  <c r="LV67" i="1"/>
  <c r="LV50" i="1"/>
  <c r="LV49" i="1"/>
  <c r="LV89" i="1"/>
  <c r="LV73" i="1"/>
  <c r="LV84" i="1"/>
  <c r="LV65" i="1"/>
  <c r="LV57" i="1"/>
  <c r="LV52" i="1"/>
  <c r="LV37" i="1"/>
  <c r="LV90" i="1"/>
  <c r="LV85" i="1"/>
  <c r="LV83" i="1"/>
  <c r="LV79" i="1"/>
  <c r="LV72" i="1"/>
  <c r="LV53" i="1"/>
  <c r="LV51" i="1"/>
  <c r="LV38" i="1"/>
  <c r="LV61" i="1"/>
  <c r="LV66" i="1"/>
  <c r="LV40" i="1"/>
  <c r="LV78" i="1"/>
  <c r="LV71" i="1"/>
  <c r="LV59" i="1"/>
  <c r="LV45" i="1"/>
  <c r="LV39" i="1"/>
  <c r="LV77" i="1"/>
  <c r="LV62" i="1"/>
  <c r="LV44" i="1"/>
  <c r="LV63" i="1"/>
  <c r="LV54" i="1"/>
  <c r="MH94" i="1"/>
  <c r="MH88" i="1"/>
  <c r="MH82" i="1"/>
  <c r="MH76" i="1"/>
  <c r="MH70" i="1"/>
  <c r="MH64" i="1"/>
  <c r="MH58" i="1"/>
  <c r="MH93" i="1"/>
  <c r="MH87" i="1"/>
  <c r="MH81" i="1"/>
  <c r="MH75" i="1"/>
  <c r="MH69" i="1"/>
  <c r="MH92" i="1"/>
  <c r="MH86" i="1"/>
  <c r="MH80" i="1"/>
  <c r="MH74" i="1"/>
  <c r="MH68" i="1"/>
  <c r="MH91" i="1"/>
  <c r="MH56" i="1"/>
  <c r="MH47" i="1"/>
  <c r="MH46" i="1"/>
  <c r="MH43" i="1"/>
  <c r="MH60" i="1"/>
  <c r="MH50" i="1"/>
  <c r="MH49" i="1"/>
  <c r="MH67" i="1"/>
  <c r="MH73" i="1"/>
  <c r="MH52" i="1"/>
  <c r="MH37" i="1"/>
  <c r="MH65" i="1"/>
  <c r="MH57" i="1"/>
  <c r="MH89" i="1"/>
  <c r="MH51" i="1"/>
  <c r="MH38" i="1"/>
  <c r="MH84" i="1"/>
  <c r="MH53" i="1"/>
  <c r="MH90" i="1"/>
  <c r="MH83" i="1"/>
  <c r="MH79" i="1"/>
  <c r="MH72" i="1"/>
  <c r="MH61" i="1"/>
  <c r="MH40" i="1"/>
  <c r="MH85" i="1"/>
  <c r="MH66" i="1"/>
  <c r="MH45" i="1"/>
  <c r="MH39" i="1"/>
  <c r="MH59" i="1"/>
  <c r="MH44" i="1"/>
  <c r="MH78" i="1"/>
  <c r="MH71" i="1"/>
  <c r="MH62" i="1"/>
  <c r="MH54" i="1"/>
  <c r="MH77" i="1"/>
  <c r="MH63" i="1"/>
  <c r="MT94" i="1"/>
  <c r="MT88" i="1"/>
  <c r="MT82" i="1"/>
  <c r="MT76" i="1"/>
  <c r="MT70" i="1"/>
  <c r="MT64" i="1"/>
  <c r="MT58" i="1"/>
  <c r="MT93" i="1"/>
  <c r="MT87" i="1"/>
  <c r="MT81" i="1"/>
  <c r="MT75" i="1"/>
  <c r="MT69" i="1"/>
  <c r="MT92" i="1"/>
  <c r="MT86" i="1"/>
  <c r="MT80" i="1"/>
  <c r="MT74" i="1"/>
  <c r="MT68" i="1"/>
  <c r="MT91" i="1"/>
  <c r="MT78" i="1"/>
  <c r="MT71" i="1"/>
  <c r="MT63" i="1"/>
  <c r="MT56" i="1"/>
  <c r="MT47" i="1"/>
  <c r="MT46" i="1"/>
  <c r="MT43" i="1"/>
  <c r="MT77" i="1"/>
  <c r="MT50" i="1"/>
  <c r="MT49" i="1"/>
  <c r="MT60" i="1"/>
  <c r="MT67" i="1"/>
  <c r="MT52" i="1"/>
  <c r="MT37" i="1"/>
  <c r="MT73" i="1"/>
  <c r="MT65" i="1"/>
  <c r="MT57" i="1"/>
  <c r="MT51" i="1"/>
  <c r="MT38" i="1"/>
  <c r="MT53" i="1"/>
  <c r="MT40" i="1"/>
  <c r="MT89" i="1"/>
  <c r="MT61" i="1"/>
  <c r="MT45" i="1"/>
  <c r="MT39" i="1"/>
  <c r="MT84" i="1"/>
  <c r="MT83" i="1"/>
  <c r="MT79" i="1"/>
  <c r="MT72" i="1"/>
  <c r="MT66" i="1"/>
  <c r="MT44" i="1"/>
  <c r="MT90" i="1"/>
  <c r="MT59" i="1"/>
  <c r="MT54" i="1"/>
  <c r="MT85" i="1"/>
  <c r="MT62" i="1"/>
  <c r="NF94" i="1"/>
  <c r="NF88" i="1"/>
  <c r="NF82" i="1"/>
  <c r="NF76" i="1"/>
  <c r="NF70" i="1"/>
  <c r="NF64" i="1"/>
  <c r="NF58" i="1"/>
  <c r="NF93" i="1"/>
  <c r="NF87" i="1"/>
  <c r="NF81" i="1"/>
  <c r="NF75" i="1"/>
  <c r="NF69" i="1"/>
  <c r="NF92" i="1"/>
  <c r="NF86" i="1"/>
  <c r="NF80" i="1"/>
  <c r="NF74" i="1"/>
  <c r="NF68" i="1"/>
  <c r="NF91" i="1"/>
  <c r="NF84" i="1"/>
  <c r="NF62" i="1"/>
  <c r="NF56" i="1"/>
  <c r="NF47" i="1"/>
  <c r="NF46" i="1"/>
  <c r="NF43" i="1"/>
  <c r="NF90" i="1"/>
  <c r="NF63" i="1"/>
  <c r="NF50" i="1"/>
  <c r="NF49" i="1"/>
  <c r="NF85" i="1"/>
  <c r="NF78" i="1"/>
  <c r="NF71" i="1"/>
  <c r="NF77" i="1"/>
  <c r="NF60" i="1"/>
  <c r="NF52" i="1"/>
  <c r="NF37" i="1"/>
  <c r="NF67" i="1"/>
  <c r="NF73" i="1"/>
  <c r="NF51" i="1"/>
  <c r="NF38" i="1"/>
  <c r="NF65" i="1"/>
  <c r="NF57" i="1"/>
  <c r="NF40" i="1"/>
  <c r="NF53" i="1"/>
  <c r="NF45" i="1"/>
  <c r="NF39" i="1"/>
  <c r="NF61" i="1"/>
  <c r="NF44" i="1"/>
  <c r="NF66" i="1"/>
  <c r="NF54" i="1"/>
  <c r="NF89" i="1"/>
  <c r="NF83" i="1"/>
  <c r="NF79" i="1"/>
  <c r="NF72" i="1"/>
  <c r="NF59" i="1"/>
  <c r="LS11" i="1"/>
  <c r="ME11" i="1"/>
  <c r="MQ11" i="1"/>
  <c r="NC11" i="1"/>
  <c r="LS12" i="1"/>
  <c r="ME12" i="1"/>
  <c r="MQ12" i="1"/>
  <c r="NC12" i="1"/>
  <c r="LS13" i="1"/>
  <c r="ME13" i="1"/>
  <c r="MQ13" i="1"/>
  <c r="NC13" i="1"/>
  <c r="LS15" i="1"/>
  <c r="ME15" i="1"/>
  <c r="MQ15" i="1"/>
  <c r="NC15" i="1"/>
  <c r="LV19" i="1"/>
  <c r="MH19" i="1"/>
  <c r="MT19" i="1"/>
  <c r="NF19" i="1"/>
  <c r="NC26" i="1"/>
  <c r="LY27" i="1"/>
  <c r="LY28" i="1"/>
  <c r="MB29" i="1"/>
  <c r="MN29" i="1"/>
  <c r="MZ29" i="1"/>
  <c r="MB31" i="1"/>
  <c r="MN32" i="1"/>
  <c r="MZ32" i="1"/>
  <c r="LY33" i="1"/>
  <c r="MK33" i="1"/>
  <c r="MW33" i="1"/>
  <c r="MH34" i="1"/>
  <c r="MW34" i="1"/>
  <c r="LV35" i="1"/>
  <c r="MT36" i="1"/>
  <c r="LS39" i="1"/>
  <c r="LS40" i="1"/>
  <c r="MT48" i="1"/>
  <c r="MN51" i="1"/>
  <c r="BH52" i="1"/>
  <c r="LV8" i="1"/>
  <c r="MH8" i="1"/>
  <c r="MT8" i="1"/>
  <c r="NF8" i="1"/>
  <c r="LV9" i="1"/>
  <c r="MH9" i="1"/>
  <c r="MT9" i="1"/>
  <c r="NF9" i="1"/>
  <c r="LS17" i="1"/>
  <c r="ME17" i="1"/>
  <c r="MQ17" i="1"/>
  <c r="NC17" i="1"/>
  <c r="LY20" i="1"/>
  <c r="MK20" i="1"/>
  <c r="MW20" i="1"/>
  <c r="LS22" i="1"/>
  <c r="ME22" i="1"/>
  <c r="MQ22" i="1"/>
  <c r="NC22" i="1"/>
  <c r="LV23" i="1"/>
  <c r="MH23" i="1"/>
  <c r="MT23" i="1"/>
  <c r="NF23" i="1"/>
  <c r="LY25" i="1"/>
  <c r="MK25" i="1"/>
  <c r="MW25" i="1"/>
  <c r="BH26" i="1"/>
  <c r="BK27" i="1"/>
  <c r="BH29" i="1"/>
  <c r="MH30" i="1"/>
  <c r="MB32" i="1"/>
  <c r="MK35" i="1"/>
  <c r="BH38" i="1"/>
  <c r="BG38" i="1"/>
  <c r="BI38" i="1" s="1"/>
  <c r="LS45" i="1"/>
  <c r="BH84" i="1"/>
  <c r="BG84" i="1"/>
  <c r="BI84" i="1" s="1"/>
  <c r="BG76" i="1"/>
  <c r="BI76" i="1" s="1"/>
  <c r="BK66" i="1"/>
  <c r="BH67" i="1"/>
  <c r="BG67" i="1"/>
  <c r="BI67" i="1" s="1"/>
  <c r="BH68" i="1"/>
  <c r="BG70" i="1"/>
  <c r="BI70" i="1" s="1"/>
  <c r="BK71" i="1"/>
  <c r="BG82" i="1"/>
  <c r="BI82" i="1" s="1"/>
  <c r="BH89" i="1"/>
  <c r="BG89" i="1"/>
  <c r="BI89" i="1" s="1"/>
  <c r="BH94" i="1"/>
  <c r="BG94" i="1"/>
  <c r="BI94" i="1" s="1"/>
  <c r="BH56" i="1"/>
  <c r="BG65" i="1"/>
  <c r="BI65" i="1" s="1"/>
  <c r="BK78" i="1"/>
  <c r="GO89" i="1"/>
  <c r="GO94" i="1"/>
  <c r="BH55" i="1"/>
  <c r="BG57" i="1"/>
  <c r="BI57" i="1" s="1"/>
  <c r="BG62" i="1"/>
  <c r="BI62" i="1" s="1"/>
  <c r="BK65" i="1"/>
  <c r="BG49" i="1"/>
  <c r="BI49" i="1" s="1"/>
  <c r="BG56" i="1"/>
  <c r="BI56" i="1" s="1"/>
  <c r="BG69" i="1"/>
  <c r="BI69" i="1" s="1"/>
  <c r="BH71" i="1"/>
  <c r="BH78" i="1"/>
  <c r="BG78" i="1"/>
  <c r="BI78" i="1" s="1"/>
  <c r="BH87" i="1"/>
  <c r="BK60" i="1"/>
  <c r="BH61" i="1"/>
  <c r="BG61" i="1"/>
  <c r="BI61" i="1" s="1"/>
  <c r="BH62" i="1"/>
  <c r="BG74" i="1"/>
  <c r="BI74" i="1" s="1"/>
  <c r="BG46" i="1"/>
  <c r="BI46" i="1" s="1"/>
  <c r="BG59" i="1"/>
  <c r="BI59" i="1" s="1"/>
  <c r="BH72" i="1"/>
  <c r="BH93" i="1"/>
  <c r="BG77" i="1"/>
  <c r="BI77" i="1" s="1"/>
  <c r="BH83" i="1"/>
  <c r="BG83" i="1"/>
  <c r="BI83" i="1" s="1"/>
  <c r="BG86" i="1"/>
  <c r="BI86" i="1" s="1"/>
  <c r="BG90" i="1"/>
  <c r="BI90" i="1" s="1"/>
  <c r="BG73" i="1"/>
  <c r="BI73" i="1" s="1"/>
  <c r="BG79" i="1"/>
  <c r="BI79" i="1" s="1"/>
  <c r="BG85" i="1"/>
  <c r="BI85" i="1" s="1"/>
</calcChain>
</file>

<file path=xl/sharedStrings.xml><?xml version="1.0" encoding="utf-8"?>
<sst xmlns="http://schemas.openxmlformats.org/spreadsheetml/2006/main" count="3666" uniqueCount="788">
  <si>
    <t>REFERRAL</t>
  </si>
  <si>
    <t>ENTRY/EXIT/DISCHARGE</t>
  </si>
  <si>
    <t>CASEWORKER INFO</t>
  </si>
  <si>
    <t>DEMOGRAPHICS AND MOBILITY</t>
  </si>
  <si>
    <t>ATTENDANCE/TRUANCY/ACE BREAKDOWN</t>
  </si>
  <si>
    <t>ATTENDANCE / ACE QTR 1</t>
  </si>
  <si>
    <t>ATTENDANCE/ACE QTR 2</t>
  </si>
  <si>
    <t>ATTENDANCE/ACE QTR 3</t>
  </si>
  <si>
    <t>ATTENDANCE/ACE QTR 4</t>
  </si>
  <si>
    <t>CREDIT GAINS</t>
  </si>
  <si>
    <t>CHECKLIST</t>
  </si>
  <si>
    <t>SKILLS GAINS/STAR SCORES</t>
  </si>
  <si>
    <t>DO NOT USE COLUMNS RIGHT OF THIS MARKER</t>
  </si>
  <si>
    <t>ADMIN 1 (DO NOT TOUCH)</t>
  </si>
  <si>
    <t>ADMIN 2 (DO NOT TOUCH)</t>
  </si>
  <si>
    <t>ADMIN 3 (DO NOT TOUCH)</t>
  </si>
  <si>
    <t>ADMIN 4 (DO NOT TOUCH)</t>
  </si>
  <si>
    <t>ADMIN 5 (DO NOT TOUCH)</t>
  </si>
  <si>
    <t>ADMIN 6 (DO NOT TOUCH)</t>
  </si>
  <si>
    <t>ADMIN 7 (DO NOT TOUCH)</t>
  </si>
  <si>
    <t>ADMIN 8 (DO NOT TOUCH)</t>
  </si>
  <si>
    <t>ADMIN 9 (DO NOT TOUCH)</t>
  </si>
  <si>
    <t>ADMIN 10 (DO NOT TOUCH)</t>
  </si>
  <si>
    <t>ADMIN 11 (DO NOT TOUCH)</t>
  </si>
  <si>
    <t>ADMIN 12 (DO NOT TOUCH)</t>
  </si>
  <si>
    <t>ADMIN 13 (DO NOT TOUCH)</t>
  </si>
  <si>
    <t>ADMIN 14 (DO NOT TOUCH)</t>
  </si>
  <si>
    <t>ADMIN 15 (DO NOT TOUCH)</t>
  </si>
  <si>
    <t>ENROLLMENT DOCUMENTS</t>
  </si>
  <si>
    <t>STAR SCORES</t>
  </si>
  <si>
    <t>REPORT CARDS/TRANSCRIPTS</t>
  </si>
  <si>
    <t>ACE PACKET DOCUMENTS</t>
  </si>
  <si>
    <t>LAST NAME</t>
  </si>
  <si>
    <t>FIRST NAME</t>
  </si>
  <si>
    <t>SCHOOL</t>
  </si>
  <si>
    <t>DCFS ID#</t>
  </si>
  <si>
    <t>CURRENT STATUS</t>
  </si>
  <si>
    <t>IF OTHER, PLEASE EXPLAIN</t>
  </si>
  <si>
    <t>EMAIL ADDRESS</t>
  </si>
  <si>
    <t>PHONE #</t>
  </si>
  <si>
    <t>DATE REFERRED TO ASN</t>
  </si>
  <si>
    <t>DATE APPROVED BY DCFS</t>
  </si>
  <si>
    <t>PUT "X" IF OFFICIALLY PENDING</t>
  </si>
  <si>
    <t>PENDING MONTH</t>
  </si>
  <si>
    <t>OFFICIALLY PENDING START</t>
  </si>
  <si>
    <t>OFFICIALLY PENDING END</t>
  </si>
  <si>
    <t>REFERRAL END STATUS</t>
  </si>
  <si>
    <t>REFERRAL END STATUS DATE</t>
  </si>
  <si>
    <t>IF NOT ACCEPTED OR NOT APPROVED BY DCFS, PLEASE PROVIDE REASON</t>
  </si>
  <si>
    <t>ENROLLMENT DATE</t>
  </si>
  <si>
    <t>SCHOOL EXIT DATE</t>
  </si>
  <si>
    <t>SCHOOL EXIT REASON</t>
  </si>
  <si>
    <t>PROGRAM DISCHARGE DATE</t>
  </si>
  <si>
    <t>PROGRAM DISCHARGE REASON</t>
  </si>
  <si>
    <t>Current Caseworker Name</t>
  </si>
  <si>
    <t>Phone</t>
  </si>
  <si>
    <t>Email</t>
  </si>
  <si>
    <t>Agency</t>
  </si>
  <si>
    <t>Street Address</t>
  </si>
  <si>
    <t>Unit / Suite #</t>
  </si>
  <si>
    <t>City</t>
  </si>
  <si>
    <t>State</t>
  </si>
  <si>
    <t>Zip</t>
  </si>
  <si>
    <t>ENTRY AGE</t>
  </si>
  <si>
    <t>CURRENT</t>
  </si>
  <si>
    <t>DOB</t>
  </si>
  <si>
    <t>Months until 21</t>
  </si>
  <si>
    <t>Gender</t>
  </si>
  <si>
    <t>LIVING SITUATION</t>
  </si>
  <si>
    <t>Number of Previous HS</t>
  </si>
  <si>
    <t>Number of DAYS out of school</t>
  </si>
  <si>
    <t>How old when case was open</t>
  </si>
  <si>
    <t>Number of Placements</t>
  </si>
  <si>
    <t>DAYS at current placement</t>
  </si>
  <si>
    <t>Grade at Entry</t>
  </si>
  <si>
    <t>SpecEd</t>
  </si>
  <si>
    <t>TP Entry</t>
  </si>
  <si>
    <t>TP To Date</t>
  </si>
  <si>
    <t>DUE DATE IF PREGNANT?</t>
  </si>
  <si>
    <t># CHILDREN</t>
  </si>
  <si>
    <t>TOTAL MTHS POSSIBLE ATTENDANCE</t>
  </si>
  <si>
    <t>TOTAL MONTHS ATTENDED AT LEAST 1 DAY</t>
  </si>
  <si>
    <t>TOTAL MONTHS TRUANT</t>
  </si>
  <si>
    <t>ATTENDANCE MONTHLY AVG %</t>
  </si>
  <si>
    <t>% MONTHS TRUANT</t>
  </si>
  <si>
    <t># MONTHS PARTICIPATED IN ACE</t>
  </si>
  <si>
    <t>% MONTHS ACE PARTICIPATION</t>
  </si>
  <si>
    <t>TOTAL HOURS ACE</t>
  </si>
  <si>
    <t>TOTAL $ EARNED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</si>
  <si>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</si>
  <si>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</si>
  <si>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</si>
  <si>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</si>
  <si>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</si>
  <si>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</si>
  <si>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</si>
  <si>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</si>
  <si>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</si>
  <si>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</si>
  <si>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</si>
  <si>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</si>
  <si>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CREDITS AT START OF FY</t>
  </si>
  <si>
    <t>GRADE LEVEL AT START OF FY</t>
  </si>
  <si>
    <t>SUMMER</t>
  </si>
  <si>
    <t>QTR 1</t>
  </si>
  <si>
    <t>QTR 2</t>
  </si>
  <si>
    <t>TOTAL GAINED SUMMER &amp; SEMESTER 1</t>
  </si>
  <si>
    <t>QTR 3</t>
  </si>
  <si>
    <t>QTR 4</t>
  </si>
  <si>
    <t>TOTAL GAINED SEMESTER 2</t>
  </si>
  <si>
    <t>CREDITS AT END OF FY</t>
  </si>
  <si>
    <t>Referral Form</t>
  </si>
  <si>
    <t>Entry Student Review</t>
  </si>
  <si>
    <t>Trial Consent Form</t>
  </si>
  <si>
    <t>Birth Certificate</t>
  </si>
  <si>
    <t>Soc Sec Card</t>
  </si>
  <si>
    <t>State ID / Drivers License</t>
  </si>
  <si>
    <t>Medical Card</t>
  </si>
  <si>
    <t>IEP (if needed)</t>
  </si>
  <si>
    <t>Entry STAR Math</t>
  </si>
  <si>
    <t>Entry STAR Reading</t>
  </si>
  <si>
    <t>Previous HS Transcripts (all)</t>
  </si>
  <si>
    <t>Entry School Transcript</t>
  </si>
  <si>
    <t>Exit Forms</t>
  </si>
  <si>
    <t>Exit Proof</t>
  </si>
  <si>
    <t>Exit Student Review</t>
  </si>
  <si>
    <t>Client Satisfaction Survey</t>
  </si>
  <si>
    <t>Casey Life Skills</t>
  </si>
  <si>
    <t>Staffing Forms</t>
  </si>
  <si>
    <t>Staffing Follow-up Forms</t>
  </si>
  <si>
    <t>Hiatus Form</t>
  </si>
  <si>
    <t>Homebound Documentation</t>
  </si>
  <si>
    <t>STAR-M (Pre - Sept/Oct - Due 10/18/19)</t>
  </si>
  <si>
    <t>STAR-M (Mid - Dec/Jan - Due 1/15/20)</t>
  </si>
  <si>
    <t>STAR-M (Post - April/May - Due 5/30/19)</t>
  </si>
  <si>
    <t>STAR-R (Pre - Sept/Oct - Due 10/18/19)</t>
  </si>
  <si>
    <t>STAR-R (Mid - Dec/Jan - Due 1/15/20)</t>
  </si>
  <si>
    <t>STAR-R (Post - April/May - Due 5/30/19)</t>
  </si>
  <si>
    <t>Summer Report Card</t>
  </si>
  <si>
    <t>Quarter 1 - Report Card</t>
  </si>
  <si>
    <t>Quarter 2 - Report Card</t>
  </si>
  <si>
    <t>Quarter 3 - Report Card</t>
  </si>
  <si>
    <t>Quarter 4 - Report Card</t>
  </si>
  <si>
    <t>Summer Updated Transcript (Due 10/17/17)</t>
  </si>
  <si>
    <t>1st Semester Transcript (Due 2/1/2018)</t>
  </si>
  <si>
    <t>2nd Semester Transcript (Due 6/15/2018)</t>
  </si>
  <si>
    <t>Student Review 1 (Due 10/17/19)</t>
  </si>
  <si>
    <t>Student Review 2 (Due 2/13/20)</t>
  </si>
  <si>
    <t>Student Review 3 (Due 6/26/20)</t>
  </si>
  <si>
    <t>Annual High School Academic Plan</t>
  </si>
  <si>
    <t>Year</t>
  </si>
  <si>
    <t>Enrollment Checklist</t>
  </si>
  <si>
    <t>Employee Action Form</t>
  </si>
  <si>
    <t>I-9</t>
  </si>
  <si>
    <t>W-4 Federal</t>
  </si>
  <si>
    <t>W-4 Illinois</t>
  </si>
  <si>
    <t>License or ID</t>
  </si>
  <si>
    <t>SSC or BC</t>
  </si>
  <si>
    <t>SUMMER ENROLLMENT CHECKLIST</t>
  </si>
  <si>
    <t>MATH</t>
  </si>
  <si>
    <t>READING</t>
  </si>
  <si>
    <t>Ethn</t>
  </si>
  <si>
    <t>HIATUS/HB STATUS?</t>
  </si>
  <si>
    <t>HIATUS/HB START</t>
  </si>
  <si>
    <t>HIATUS/HB END</t>
  </si>
  <si>
    <t>POSSIBLE DAYS ATTENDED</t>
  </si>
  <si>
    <t>ATTENDED DAYS</t>
  </si>
  <si>
    <t>ATTENDANCE %</t>
  </si>
  <si>
    <t>ACE WORK HRS 1</t>
  </si>
  <si>
    <t>ACE HRS 2</t>
  </si>
  <si>
    <t>TOTAL ACE HRS</t>
  </si>
  <si>
    <t>ACE $ EARNED</t>
  </si>
  <si>
    <t>HIATUS/HB START DATE</t>
  </si>
  <si>
    <t>HIATUS/HB END DATE</t>
  </si>
  <si>
    <t>ACE WORK HRS</t>
  </si>
  <si>
    <t>ACE 1</t>
  </si>
  <si>
    <t>ACE 2</t>
  </si>
  <si>
    <t>ACE TOTAL</t>
  </si>
  <si>
    <t>ACE 1 HRS</t>
  </si>
  <si>
    <t>ACE 2 HRS</t>
  </si>
  <si>
    <t>ACE $</t>
  </si>
  <si>
    <t>ACE HRS</t>
  </si>
  <si>
    <t>TOTAL ACE HOURS</t>
  </si>
  <si>
    <t>TOTAL ACE PAY</t>
  </si>
  <si>
    <t>TUTORING</t>
  </si>
  <si>
    <t>COUNSELING</t>
  </si>
  <si>
    <t xml:space="preserve">AFTER SCHOOL </t>
  </si>
  <si>
    <t>WORK</t>
  </si>
  <si>
    <t>ENTRY</t>
  </si>
  <si>
    <t>AUG</t>
  </si>
  <si>
    <t>SEPT</t>
  </si>
  <si>
    <t>OCT</t>
  </si>
  <si>
    <t>NOV</t>
  </si>
  <si>
    <t>DEC</t>
  </si>
  <si>
    <t>JAN</t>
  </si>
  <si>
    <t>FEB</t>
  </si>
  <si>
    <t># OF TESTS</t>
  </si>
  <si>
    <t>GAIN</t>
  </si>
  <si>
    <t>JULY7</t>
  </si>
  <si>
    <t>AUG8</t>
  </si>
  <si>
    <t>SEPT9</t>
  </si>
  <si>
    <t>OCT10</t>
  </si>
  <si>
    <t>NOV11</t>
  </si>
  <si>
    <t>DEC12</t>
  </si>
  <si>
    <t>JAN13</t>
  </si>
  <si>
    <t>FEB14</t>
  </si>
  <si>
    <t>MARCH15</t>
  </si>
  <si>
    <t>APRIL16</t>
  </si>
  <si>
    <t>MAY17</t>
  </si>
  <si>
    <t>JUNE2</t>
  </si>
  <si>
    <t># TESTS</t>
  </si>
  <si>
    <t>Selection</t>
  </si>
  <si>
    <t>Sorting</t>
  </si>
  <si>
    <t>x</t>
  </si>
  <si>
    <t>Sample01</t>
  </si>
  <si>
    <t xml:space="preserve"> Student01</t>
  </si>
  <si>
    <t>Antonia Pantoja Hs</t>
  </si>
  <si>
    <t>N5996686</t>
  </si>
  <si>
    <t>Enrolled</t>
  </si>
  <si>
    <t>SSample01@asn.com</t>
  </si>
  <si>
    <t>773-555-0001</t>
  </si>
  <si>
    <t/>
  </si>
  <si>
    <t>Current</t>
  </si>
  <si>
    <t>Megan Garcia</t>
  </si>
  <si>
    <t>847-404-0878</t>
  </si>
  <si>
    <t>megan.burgess-garcia@illinois.gov</t>
  </si>
  <si>
    <t>DCFS</t>
  </si>
  <si>
    <t>1755 Lake Cook Rd.</t>
  </si>
  <si>
    <t>F15</t>
  </si>
  <si>
    <t>Deerfield</t>
  </si>
  <si>
    <t>IL</t>
  </si>
  <si>
    <t>F</t>
  </si>
  <si>
    <t>Latino/Hispanic</t>
  </si>
  <si>
    <t>Foster home</t>
  </si>
  <si>
    <t>Freshman</t>
  </si>
  <si>
    <t>No</t>
  </si>
  <si>
    <t>Senior</t>
  </si>
  <si>
    <t>m</t>
  </si>
  <si>
    <t>no</t>
  </si>
  <si>
    <t>n/a</t>
  </si>
  <si>
    <t>19/20</t>
  </si>
  <si>
    <t>Sample02</t>
  </si>
  <si>
    <t xml:space="preserve"> Student02</t>
  </si>
  <si>
    <t>N7996585</t>
  </si>
  <si>
    <t>SSample02@asn.com</t>
  </si>
  <si>
    <t>773-555-0002</t>
  </si>
  <si>
    <t>Jamie Myers</t>
  </si>
  <si>
    <t>(708) 738-1497</t>
  </si>
  <si>
    <t>jamie_myers@lcfs.org</t>
  </si>
  <si>
    <t>Luthern Child &amp; Family Services</t>
  </si>
  <si>
    <t>7601 S. Kostner</t>
  </si>
  <si>
    <t>Chicago</t>
  </si>
  <si>
    <t>Caucasian</t>
  </si>
  <si>
    <t>Junior</t>
  </si>
  <si>
    <t>Pregnant</t>
  </si>
  <si>
    <t>Sample03</t>
  </si>
  <si>
    <t>Student03</t>
  </si>
  <si>
    <t>Y5686785</t>
  </si>
  <si>
    <t>SSample03@asn.com</t>
  </si>
  <si>
    <t>773-555-0003</t>
  </si>
  <si>
    <t>Trella Wade-Mitchell</t>
  </si>
  <si>
    <t>(708) 718-6204</t>
  </si>
  <si>
    <t>twademitchell@nyap.org</t>
  </si>
  <si>
    <t>NYAP</t>
  </si>
  <si>
    <t>African American</t>
  </si>
  <si>
    <t>Unk</t>
  </si>
  <si>
    <t>Pendinng</t>
  </si>
  <si>
    <t>Referral not accepted by school</t>
  </si>
  <si>
    <t>Dec-20 EXT</t>
  </si>
  <si>
    <t>Not accepted</t>
  </si>
  <si>
    <t>Darnise Horne</t>
  </si>
  <si>
    <t>708-747-2655</t>
  </si>
  <si>
    <t>dahorne@nyap.org</t>
  </si>
  <si>
    <t>4747 Lincoln Mall Dr.</t>
  </si>
  <si>
    <t>Suite 101</t>
  </si>
  <si>
    <t>Matteson</t>
  </si>
  <si>
    <t>Home of relative</t>
  </si>
  <si>
    <t>Sample04</t>
  </si>
  <si>
    <t xml:space="preserve"> Student04</t>
  </si>
  <si>
    <t>Asn Preparatory Institute</t>
  </si>
  <si>
    <t>T6798567</t>
  </si>
  <si>
    <t>SSample04@asn.com</t>
  </si>
  <si>
    <t>773-555-0004</t>
  </si>
  <si>
    <t>Hope King-Stapleton</t>
  </si>
  <si>
    <t>(773) 981-0536</t>
  </si>
  <si>
    <t>UCAN</t>
  </si>
  <si>
    <t>13700 S Indiana</t>
  </si>
  <si>
    <t>Riverdale</t>
  </si>
  <si>
    <t>TLP</t>
  </si>
  <si>
    <t>GED</t>
  </si>
  <si>
    <t>Yes</t>
  </si>
  <si>
    <t>Sample05</t>
  </si>
  <si>
    <t xml:space="preserve"> Student05</t>
  </si>
  <si>
    <t>U6678589</t>
  </si>
  <si>
    <t>Discharged</t>
  </si>
  <si>
    <t>SSample05@asn.com</t>
  </si>
  <si>
    <t>773-555-0005</t>
  </si>
  <si>
    <t>Accepted</t>
  </si>
  <si>
    <t>Emancipated</t>
  </si>
  <si>
    <t>Paula Grrison</t>
  </si>
  <si>
    <t>(708)  668-0760</t>
  </si>
  <si>
    <t>paula.garrison@thresholds.org</t>
  </si>
  <si>
    <t>Thresholds Mother's Project</t>
  </si>
  <si>
    <t xml:space="preserve">1110 W Belmont </t>
  </si>
  <si>
    <t>Sample06</t>
  </si>
  <si>
    <t xml:space="preserve"> Student06</t>
  </si>
  <si>
    <t>Z5558985</t>
  </si>
  <si>
    <t>SSample06@asn.com</t>
  </si>
  <si>
    <t>773-555-0006</t>
  </si>
  <si>
    <t>Michael Johnson</t>
  </si>
  <si>
    <t>773-429-9373</t>
  </si>
  <si>
    <t>michael.johnson@ucanchicago.org</t>
  </si>
  <si>
    <t>10046 S. Western</t>
  </si>
  <si>
    <t>M</t>
  </si>
  <si>
    <t>Sample07</t>
  </si>
  <si>
    <t xml:space="preserve"> Student07</t>
  </si>
  <si>
    <t>Association House Hs</t>
  </si>
  <si>
    <t>S7776988</t>
  </si>
  <si>
    <t>SSample07@asn.com</t>
  </si>
  <si>
    <t>773-555-0007</t>
  </si>
  <si>
    <t>Ebony Ellis</t>
  </si>
  <si>
    <t>(773) 371-6000</t>
  </si>
  <si>
    <t>IDCFS</t>
  </si>
  <si>
    <t>R</t>
  </si>
  <si>
    <t>Sample08</t>
  </si>
  <si>
    <t xml:space="preserve"> Student08</t>
  </si>
  <si>
    <t>W7996985</t>
  </si>
  <si>
    <t>SSample08@asn.com</t>
  </si>
  <si>
    <t>773-555-0008</t>
  </si>
  <si>
    <t>Martha Vega</t>
  </si>
  <si>
    <t>(312) 377-4735</t>
  </si>
  <si>
    <t>martha.vega@illinois.gov</t>
  </si>
  <si>
    <t>Childlink</t>
  </si>
  <si>
    <t>955 W Cermak</t>
  </si>
  <si>
    <t>unk</t>
  </si>
  <si>
    <t>Pending</t>
  </si>
  <si>
    <t>Hiatus</t>
  </si>
  <si>
    <t>r</t>
  </si>
  <si>
    <t>Sample09</t>
  </si>
  <si>
    <t xml:space="preserve"> Student09</t>
  </si>
  <si>
    <t>Chatham Academy</t>
  </si>
  <si>
    <t>S7896885</t>
  </si>
  <si>
    <t>Transferred in network</t>
  </si>
  <si>
    <t>SSample09@asn.com</t>
  </si>
  <si>
    <t>773-555-0009</t>
  </si>
  <si>
    <t>Madeline Kenny</t>
  </si>
  <si>
    <t>312-564-2348</t>
  </si>
  <si>
    <t>mkenny@voail.org</t>
  </si>
  <si>
    <t>Volunteers of America</t>
  </si>
  <si>
    <t>47 W. Park St.</t>
  </si>
  <si>
    <t>250-2</t>
  </si>
  <si>
    <t>Sophomore</t>
  </si>
  <si>
    <t>Sample10</t>
  </si>
  <si>
    <t xml:space="preserve"> Student10</t>
  </si>
  <si>
    <t>Q6688585</t>
  </si>
  <si>
    <t>SSample10@asn.com</t>
  </si>
  <si>
    <t>773-555-0010</t>
  </si>
  <si>
    <t>Zachary Zuninga</t>
  </si>
  <si>
    <t>773-226-9026</t>
  </si>
  <si>
    <t>Sample11</t>
  </si>
  <si>
    <t xml:space="preserve"> Student11</t>
  </si>
  <si>
    <t>Y8896989</t>
  </si>
  <si>
    <t>SSample11@asn.com</t>
  </si>
  <si>
    <t>773-555-0011</t>
  </si>
  <si>
    <t>Tatianna Rogers</t>
  </si>
  <si>
    <t>773-488-2580</t>
  </si>
  <si>
    <t>tatianna.rogers@illinois.gov</t>
  </si>
  <si>
    <t>Lakeside Community Committee</t>
  </si>
  <si>
    <t>7418 S. Cottage Grove</t>
  </si>
  <si>
    <t>Sample12</t>
  </si>
  <si>
    <t xml:space="preserve"> Student12</t>
  </si>
  <si>
    <t>Community Youth Development Institute</t>
  </si>
  <si>
    <t>U6888687</t>
  </si>
  <si>
    <t>SSample12@asn.com</t>
  </si>
  <si>
    <t>773-555-0012</t>
  </si>
  <si>
    <t>Truant</t>
  </si>
  <si>
    <t>Tashiana Phillips</t>
  </si>
  <si>
    <t>773-777-7112</t>
  </si>
  <si>
    <t>tashianap@yos.org</t>
  </si>
  <si>
    <t>Youth outreach Services</t>
  </si>
  <si>
    <t>6417 W. Irving Park Road</t>
  </si>
  <si>
    <t>Sample13</t>
  </si>
  <si>
    <t xml:space="preserve"> Student13</t>
  </si>
  <si>
    <t>W9798985</t>
  </si>
  <si>
    <t>SSample13@asn.com</t>
  </si>
  <si>
    <t>773-555-0013</t>
  </si>
  <si>
    <t>NO</t>
  </si>
  <si>
    <t>Sample14</t>
  </si>
  <si>
    <t xml:space="preserve"> Student14</t>
  </si>
  <si>
    <t>U9589885</t>
  </si>
  <si>
    <t>SSample14@asn.com</t>
  </si>
  <si>
    <t>773-555-0014</t>
  </si>
  <si>
    <t>Taylor Dole</t>
  </si>
  <si>
    <t>(815) 768-5432</t>
  </si>
  <si>
    <t>Our Chhildrens Homestead</t>
  </si>
  <si>
    <t>Sample15</t>
  </si>
  <si>
    <t xml:space="preserve"> Student15</t>
  </si>
  <si>
    <t>S8778886</t>
  </si>
  <si>
    <t>SSample15@asn.com</t>
  </si>
  <si>
    <t>773-555-0015</t>
  </si>
  <si>
    <t>On run</t>
  </si>
  <si>
    <t>Lydia Batten</t>
  </si>
  <si>
    <t>708-210-2840</t>
  </si>
  <si>
    <t>lydia.batten2@illinois.gov</t>
  </si>
  <si>
    <t>15115 Dixie Hwy</t>
  </si>
  <si>
    <t>Harvey</t>
  </si>
  <si>
    <t>Independent living</t>
  </si>
  <si>
    <t>Sample16</t>
  </si>
  <si>
    <t xml:space="preserve"> Student16</t>
  </si>
  <si>
    <t>Dr. Pedro Albizu Campos Hs</t>
  </si>
  <si>
    <t>S7896685</t>
  </si>
  <si>
    <t>School Exit</t>
  </si>
  <si>
    <t>SSample16@asn.com</t>
  </si>
  <si>
    <t>773-555-0016</t>
  </si>
  <si>
    <t>Graduated</t>
  </si>
  <si>
    <t>Christine Sierra</t>
  </si>
  <si>
    <t>773-941-2085</t>
  </si>
  <si>
    <t>christina.sierra@illinois.gov</t>
  </si>
  <si>
    <t>Lutheran Child and Family Services</t>
  </si>
  <si>
    <t>Sample17</t>
  </si>
  <si>
    <t xml:space="preserve"> Student17</t>
  </si>
  <si>
    <t>Excel Academy</t>
  </si>
  <si>
    <t>Not approved by DCFS</t>
  </si>
  <si>
    <t>SSample17@asn.com</t>
  </si>
  <si>
    <t>773-555-0017</t>
  </si>
  <si>
    <t>Other</t>
  </si>
  <si>
    <t>Unauthorized</t>
  </si>
  <si>
    <t>Sample18</t>
  </si>
  <si>
    <t xml:space="preserve"> Student18</t>
  </si>
  <si>
    <t>SSample18@asn.com</t>
  </si>
  <si>
    <t>773-555-0018</t>
  </si>
  <si>
    <t>Reynold Riddle-Young</t>
  </si>
  <si>
    <t>(618) 583-2634</t>
  </si>
  <si>
    <t>reginald.riddle-young@illinois.gov</t>
  </si>
  <si>
    <t>Group home</t>
  </si>
  <si>
    <t>Sample19</t>
  </si>
  <si>
    <t xml:space="preserve"> Student19</t>
  </si>
  <si>
    <t>SSample19@asn.com</t>
  </si>
  <si>
    <t>773-555-0019</t>
  </si>
  <si>
    <t>Nicholas Nasutha</t>
  </si>
  <si>
    <t>(309) 428-0271</t>
  </si>
  <si>
    <t>nicholas.j.nasutha@illinois.gov</t>
  </si>
  <si>
    <t>Sample20</t>
  </si>
  <si>
    <t xml:space="preserve"> Student20</t>
  </si>
  <si>
    <t>Innovations Hs</t>
  </si>
  <si>
    <t>P6766585</t>
  </si>
  <si>
    <t>SSample20@asn.com</t>
  </si>
  <si>
    <t>773-555-0020</t>
  </si>
  <si>
    <t>Sample21</t>
  </si>
  <si>
    <t xml:space="preserve"> Student21</t>
  </si>
  <si>
    <t>Q7899989</t>
  </si>
  <si>
    <t>SSample21@asn.com</t>
  </si>
  <si>
    <t>773-555-0021</t>
  </si>
  <si>
    <t>IEP-therapeutic day school</t>
  </si>
  <si>
    <t>Angel Williams</t>
  </si>
  <si>
    <t>773-704-1307</t>
  </si>
  <si>
    <t>angel.williams@thresholds.org</t>
  </si>
  <si>
    <t>Thresholds</t>
  </si>
  <si>
    <t>4219 N. Lincoln</t>
  </si>
  <si>
    <t>X</t>
  </si>
  <si>
    <t>Sample22</t>
  </si>
  <si>
    <t xml:space="preserve"> Student22</t>
  </si>
  <si>
    <t>Latino Youth Hs</t>
  </si>
  <si>
    <t>J8668685</t>
  </si>
  <si>
    <t>SSample22@asn.com</t>
  </si>
  <si>
    <t>773-555-0022</t>
  </si>
  <si>
    <t>June</t>
  </si>
  <si>
    <t>Jessica Herrera-Cruz</t>
  </si>
  <si>
    <t>708-222-3349</t>
  </si>
  <si>
    <t>jcruz@ucpseguin.org</t>
  </si>
  <si>
    <t>UCP Seguin</t>
  </si>
  <si>
    <t>3100 S. Central Ave.</t>
  </si>
  <si>
    <t>Cicero</t>
  </si>
  <si>
    <t>Latino/HIspanic</t>
  </si>
  <si>
    <t>Sample23</t>
  </si>
  <si>
    <t xml:space="preserve"> Student23</t>
  </si>
  <si>
    <t>S5566589</t>
  </si>
  <si>
    <t>SSample23@asn.com</t>
  </si>
  <si>
    <t>773-555-0023</t>
  </si>
  <si>
    <t>Theresa Abels</t>
  </si>
  <si>
    <t>(312) 243-1901</t>
  </si>
  <si>
    <t>tables@sosillinois.org</t>
  </si>
  <si>
    <t>SOS Children's Village-IL</t>
  </si>
  <si>
    <t>1200 W. Roosevelt</t>
  </si>
  <si>
    <t>yes</t>
  </si>
  <si>
    <t>Sample24</t>
  </si>
  <si>
    <t xml:space="preserve"> Student24</t>
  </si>
  <si>
    <t>SSample24@asn.com</t>
  </si>
  <si>
    <t>773-555-0024</t>
  </si>
  <si>
    <t>A. Cummings</t>
  </si>
  <si>
    <t>773-865-2471</t>
  </si>
  <si>
    <t>andreana.cummings@illinois.gov</t>
  </si>
  <si>
    <t>Youth Outreach Services</t>
  </si>
  <si>
    <t>2614 St. charles Rd.</t>
  </si>
  <si>
    <t>Bellwood</t>
  </si>
  <si>
    <t>Other/Mixed</t>
  </si>
  <si>
    <t>Sample25</t>
  </si>
  <si>
    <t xml:space="preserve"> Student25</t>
  </si>
  <si>
    <t>McKinley Lakeside Leadership Academy</t>
  </si>
  <si>
    <t>X8886686</t>
  </si>
  <si>
    <t>SSample25@asn.com</t>
  </si>
  <si>
    <t>773-555-0025</t>
  </si>
  <si>
    <t>Bianca Usher</t>
  </si>
  <si>
    <t>(708) 747-2655</t>
  </si>
  <si>
    <t>bianca.usher@illinois.gov</t>
  </si>
  <si>
    <t>National Youth Advocate</t>
  </si>
  <si>
    <t>Shelter</t>
  </si>
  <si>
    <t>Sample26</t>
  </si>
  <si>
    <t xml:space="preserve"> Student26</t>
  </si>
  <si>
    <t>Olive-Harvey Middle College</t>
  </si>
  <si>
    <t>X6566585</t>
  </si>
  <si>
    <t>SSample26@asn.com</t>
  </si>
  <si>
    <t>773-555-0026</t>
  </si>
  <si>
    <t>Erica Rosario</t>
  </si>
  <si>
    <t>(773) 355-5564</t>
  </si>
  <si>
    <t>erosario@lydiahome.org</t>
  </si>
  <si>
    <t>Lydia Home Association</t>
  </si>
  <si>
    <t>4839 W Irving Park Road</t>
  </si>
  <si>
    <t>Sample27</t>
  </si>
  <si>
    <t xml:space="preserve"> Student27</t>
  </si>
  <si>
    <t>P5656885</t>
  </si>
  <si>
    <t>SSample27@asn.com</t>
  </si>
  <si>
    <t>773-555-0027</t>
  </si>
  <si>
    <t>Martha Vincently</t>
  </si>
  <si>
    <t>773-840-4600</t>
  </si>
  <si>
    <t>MYSI</t>
  </si>
  <si>
    <t>3001 W. 111th St.</t>
  </si>
  <si>
    <t>Sample28</t>
  </si>
  <si>
    <t xml:space="preserve"> Student28</t>
  </si>
  <si>
    <t>Y8896985</t>
  </si>
  <si>
    <t>Officially pending</t>
  </si>
  <si>
    <t>SSample28@asn.com</t>
  </si>
  <si>
    <t>773-555-0028</t>
  </si>
  <si>
    <t>(773) 488-2580</t>
  </si>
  <si>
    <t>Home of Relative</t>
  </si>
  <si>
    <t>Sample29</t>
  </si>
  <si>
    <t xml:space="preserve"> Student29</t>
  </si>
  <si>
    <t>W9986889</t>
  </si>
  <si>
    <t>SSample29@asn.com</t>
  </si>
  <si>
    <t>773-555-0029</t>
  </si>
  <si>
    <t>Martha Vincenty</t>
  </si>
  <si>
    <t>marthavincenty@myschicago.org</t>
  </si>
  <si>
    <t>MYSI Inc.</t>
  </si>
  <si>
    <t>Sample30</t>
  </si>
  <si>
    <t xml:space="preserve"> Student30</t>
  </si>
  <si>
    <t>Progressive Leadership Academy</t>
  </si>
  <si>
    <t>R9668585</t>
  </si>
  <si>
    <t>SSample30@asn.com</t>
  </si>
  <si>
    <t>773-555-0030</t>
  </si>
  <si>
    <t>Sarah Jacobs</t>
  </si>
  <si>
    <t>(773) 355-5572</t>
  </si>
  <si>
    <t>sjacobs@lydiahome.org</t>
  </si>
  <si>
    <t>4839 W Irving Park Boulevard</t>
  </si>
  <si>
    <t>Sample31</t>
  </si>
  <si>
    <t xml:space="preserve"> Student31</t>
  </si>
  <si>
    <t>P6756687</t>
  </si>
  <si>
    <t>SSample31@asn.com</t>
  </si>
  <si>
    <t>773-555-0031</t>
  </si>
  <si>
    <t>Loyola Moore</t>
  </si>
  <si>
    <t>(773) 753-0600</t>
  </si>
  <si>
    <t>loyola_moore@lcfs.org</t>
  </si>
  <si>
    <t>Suite 300</t>
  </si>
  <si>
    <t>Sample32</t>
  </si>
  <si>
    <t xml:space="preserve"> Student32</t>
  </si>
  <si>
    <t>P6986685</t>
  </si>
  <si>
    <t>SSample32@asn.com</t>
  </si>
  <si>
    <t>773-555-0032</t>
  </si>
  <si>
    <t>Ariel Bailey</t>
  </si>
  <si>
    <t>(773) 840-4600</t>
  </si>
  <si>
    <t>duncanward@illinois.gov</t>
  </si>
  <si>
    <t>3001 W. 111th Street</t>
  </si>
  <si>
    <t>Sample33</t>
  </si>
  <si>
    <t xml:space="preserve"> Student33</t>
  </si>
  <si>
    <t>Sullivan House</t>
  </si>
  <si>
    <t>W7578585</t>
  </si>
  <si>
    <t>SSample33@asn.com</t>
  </si>
  <si>
    <t>773-555-0033</t>
  </si>
  <si>
    <t>Shantell Stephens-Terrell</t>
  </si>
  <si>
    <t>(708) 825-5347</t>
  </si>
  <si>
    <t>shantell.stephensterrell@illinois.gov</t>
  </si>
  <si>
    <t>Aunt Martha's</t>
  </si>
  <si>
    <t>440 Forrest</t>
  </si>
  <si>
    <t>Park Forest</t>
  </si>
  <si>
    <t>Sample34</t>
  </si>
  <si>
    <t xml:space="preserve"> Student34</t>
  </si>
  <si>
    <t>SSample34@asn.com</t>
  </si>
  <si>
    <t>773-555-0034</t>
  </si>
  <si>
    <t>Rosa Barajas</t>
  </si>
  <si>
    <t>773-391-3729</t>
  </si>
  <si>
    <t>rosa.barajas@illinois.gov</t>
  </si>
  <si>
    <t>Childserv</t>
  </si>
  <si>
    <t>3753 S. Cottage Grove</t>
  </si>
  <si>
    <t>Sample35</t>
  </si>
  <si>
    <t xml:space="preserve"> Student35</t>
  </si>
  <si>
    <t>S5586885</t>
  </si>
  <si>
    <t>SSample35@asn.com</t>
  </si>
  <si>
    <t>773-555-0035</t>
  </si>
  <si>
    <t>Beverly Wilson</t>
  </si>
  <si>
    <t>(708) 210-2730</t>
  </si>
  <si>
    <t>440 Forest Blvd</t>
  </si>
  <si>
    <t>Il</t>
  </si>
  <si>
    <t>Sample36</t>
  </si>
  <si>
    <t xml:space="preserve"> Student36</t>
  </si>
  <si>
    <t>S5586886</t>
  </si>
  <si>
    <t>SSample36@asn.com</t>
  </si>
  <si>
    <t>773-555-0036</t>
  </si>
  <si>
    <t>Sample37</t>
  </si>
  <si>
    <t xml:space="preserve"> Student37</t>
  </si>
  <si>
    <t>T7769586</t>
  </si>
  <si>
    <t>SSample37@asn.com</t>
  </si>
  <si>
    <t>773-555-0037</t>
  </si>
  <si>
    <t>Transfer in network</t>
  </si>
  <si>
    <t>Alfredia Johnson</t>
  </si>
  <si>
    <t>(773) 419-4511</t>
  </si>
  <si>
    <t>10046 S. Westerb</t>
  </si>
  <si>
    <t>Sample38</t>
  </si>
  <si>
    <t xml:space="preserve"> Student38</t>
  </si>
  <si>
    <t>N5796985</t>
  </si>
  <si>
    <t>SSample38@asn.com</t>
  </si>
  <si>
    <t>773-555-0038</t>
  </si>
  <si>
    <t>Tania Parrot</t>
  </si>
  <si>
    <t>708-237-9446</t>
  </si>
  <si>
    <t>tparrott@nyap.org</t>
  </si>
  <si>
    <t>4247 Lincoln Hwy</t>
  </si>
  <si>
    <t>Sample39</t>
  </si>
  <si>
    <t xml:space="preserve"> Student39</t>
  </si>
  <si>
    <t>W5978886</t>
  </si>
  <si>
    <t>SSample39@asn.com</t>
  </si>
  <si>
    <t>773-555-0039</t>
  </si>
  <si>
    <t>Placement change</t>
  </si>
  <si>
    <t>Transfer out of network</t>
  </si>
  <si>
    <t>Shereeeta Little</t>
  </si>
  <si>
    <t>773-986-1446</t>
  </si>
  <si>
    <t>shereeta.little@illinois.gov</t>
  </si>
  <si>
    <t>LCFS</t>
  </si>
  <si>
    <t>Suite 302</t>
  </si>
  <si>
    <t>Sample40</t>
  </si>
  <si>
    <t xml:space="preserve"> Student40</t>
  </si>
  <si>
    <t>N7798785</t>
  </si>
  <si>
    <t>SSample40@asn.com</t>
  </si>
  <si>
    <t>773-555-0040</t>
  </si>
  <si>
    <t>Sample41</t>
  </si>
  <si>
    <t xml:space="preserve"> Student41</t>
  </si>
  <si>
    <t>West Town Academy</t>
  </si>
  <si>
    <t>Z9659988</t>
  </si>
  <si>
    <t>SSample41@asn.com</t>
  </si>
  <si>
    <t>773-555-0041</t>
  </si>
  <si>
    <t>Keosha Gamble</t>
  </si>
  <si>
    <t>(708) 475-5819</t>
  </si>
  <si>
    <t>keosha.gamble@illinois.gov</t>
  </si>
  <si>
    <t>Aunt Martha's Health and Wellness</t>
  </si>
  <si>
    <t>Homebound</t>
  </si>
  <si>
    <t>Sample42</t>
  </si>
  <si>
    <t xml:space="preserve"> Student42</t>
  </si>
  <si>
    <t>Y6876885</t>
  </si>
  <si>
    <t>SSample42@asn.com</t>
  </si>
  <si>
    <t>773-555-0042</t>
  </si>
  <si>
    <t>Melita Patillo</t>
  </si>
  <si>
    <t>312-909-6248</t>
  </si>
  <si>
    <t>melitachildlink@gmail.com</t>
  </si>
  <si>
    <t>Child Link</t>
  </si>
  <si>
    <t>955 W. Cermak</t>
  </si>
  <si>
    <t>Sample43</t>
  </si>
  <si>
    <t xml:space="preserve"> Student43</t>
  </si>
  <si>
    <t>W5958689</t>
  </si>
  <si>
    <t>SSample43@asn.com</t>
  </si>
  <si>
    <t>773-555-0043</t>
  </si>
  <si>
    <t>Shantell Stephens</t>
  </si>
  <si>
    <t>708-825-5347</t>
  </si>
  <si>
    <t>shantell.stephens-terrell@illinois.gov</t>
  </si>
  <si>
    <t>Aunt Marthas</t>
  </si>
  <si>
    <t>Sample44</t>
  </si>
  <si>
    <t xml:space="preserve"> Student44</t>
  </si>
  <si>
    <t>W9766885</t>
  </si>
  <si>
    <t>SSample44@asn.com</t>
  </si>
  <si>
    <t>773-555-0044</t>
  </si>
  <si>
    <t>Anahi C.</t>
  </si>
  <si>
    <t>773-772-8004 ext. 2114</t>
  </si>
  <si>
    <t>Association House</t>
  </si>
  <si>
    <t>1116 N. Kedzie</t>
  </si>
  <si>
    <t>Sample45</t>
  </si>
  <si>
    <t xml:space="preserve"> Student45</t>
  </si>
  <si>
    <t>Youth Connection Leadership Academy</t>
  </si>
  <si>
    <t>W6578589</t>
  </si>
  <si>
    <t>SSample45@asn.com</t>
  </si>
  <si>
    <t>773-555-0045</t>
  </si>
  <si>
    <t>Selena Ramsey</t>
  </si>
  <si>
    <t>312-949-4340</t>
  </si>
  <si>
    <t>selena.ramsey@illinois.gov</t>
  </si>
  <si>
    <t>LSSI</t>
  </si>
  <si>
    <t>1340 S. Damen</t>
  </si>
  <si>
    <t>#205</t>
  </si>
  <si>
    <t>Sample46</t>
  </si>
  <si>
    <t xml:space="preserve"> Student46</t>
  </si>
  <si>
    <t>Q7859889</t>
  </si>
  <si>
    <t>SSample46@asn.com</t>
  </si>
  <si>
    <t>773-555-0046</t>
  </si>
  <si>
    <t>Sample47</t>
  </si>
  <si>
    <t xml:space="preserve"> Student47</t>
  </si>
  <si>
    <t>SSample47@asn.com</t>
  </si>
  <si>
    <t>773-555-0047</t>
  </si>
  <si>
    <t>Sidney Shinall</t>
  </si>
  <si>
    <t>(219) 805-4545</t>
  </si>
  <si>
    <t>sidneyshinall@mysichicago.org</t>
  </si>
  <si>
    <t>Sample48</t>
  </si>
  <si>
    <t xml:space="preserve"> Student48</t>
  </si>
  <si>
    <t>Z9578685</t>
  </si>
  <si>
    <t>SSample48@asn.com</t>
  </si>
  <si>
    <t>773-555-0048</t>
  </si>
  <si>
    <t>Karen Townsend</t>
  </si>
  <si>
    <t>(312) 328-2240</t>
  </si>
  <si>
    <t>karen.townsend@illinois.gov</t>
  </si>
  <si>
    <t>1911 S . Indiana</t>
  </si>
  <si>
    <t>Sample49</t>
  </si>
  <si>
    <t xml:space="preserve"> Student49</t>
  </si>
  <si>
    <t>SSample49@asn.com</t>
  </si>
  <si>
    <t>773-555-0049</t>
  </si>
  <si>
    <t>Kimberly McMillian</t>
  </si>
  <si>
    <t>GENINFO TAB</t>
  </si>
  <si>
    <t>TRANSITIONING YOUTH TAB</t>
  </si>
  <si>
    <t>SCHOOL DROPDOWN LIST</t>
  </si>
  <si>
    <t>NAME RANGE</t>
  </si>
  <si>
    <t xml:space="preserve">SCHOOL  </t>
  </si>
  <si>
    <t>RANGE NAME</t>
  </si>
  <si>
    <t>Successful</t>
  </si>
  <si>
    <t>TranYouthStatus</t>
  </si>
  <si>
    <t>FY20SCHOOLS</t>
  </si>
  <si>
    <t>In Process</t>
  </si>
  <si>
    <t>Unsuccessful</t>
  </si>
  <si>
    <t>CCA Academy</t>
  </si>
  <si>
    <t>YS3 Transitioning</t>
  </si>
  <si>
    <t>CURRENT STATUS LIST</t>
  </si>
  <si>
    <t>STATUS</t>
  </si>
  <si>
    <t>Pre-pending</t>
  </si>
  <si>
    <t>CurrentStatus</t>
  </si>
  <si>
    <t>Officially pending extended (Exc. From enrollment)</t>
  </si>
  <si>
    <t>Transitioning</t>
  </si>
  <si>
    <t>Transferred in network from enrolled</t>
  </si>
  <si>
    <t>Transferred in network from referral</t>
  </si>
  <si>
    <t>ReferralEnd</t>
  </si>
  <si>
    <t>LIVING SITUATION STATUS</t>
  </si>
  <si>
    <t>Placement</t>
  </si>
  <si>
    <t>Residential treatment facility</t>
  </si>
  <si>
    <t>Specialized foster care</t>
  </si>
  <si>
    <t xml:space="preserve">RACE </t>
  </si>
  <si>
    <t>Race</t>
  </si>
  <si>
    <t>HIATUS/HOMEBOUND STATUS</t>
  </si>
  <si>
    <t>HiatusHB</t>
  </si>
  <si>
    <t>NOT ACCEPTED REFERRALS</t>
  </si>
  <si>
    <t>REASON</t>
  </si>
  <si>
    <t>ReferralReason</t>
  </si>
  <si>
    <t>Low engagement</t>
  </si>
  <si>
    <t>Self-drop</t>
  </si>
  <si>
    <t>Employment</t>
  </si>
  <si>
    <t>Behavior</t>
  </si>
  <si>
    <t>Incarcerated</t>
  </si>
  <si>
    <t>Case Closed-DCFS</t>
  </si>
  <si>
    <t>Adopted - DCFS</t>
  </si>
  <si>
    <t>SCHOOL EXIT REASONS</t>
  </si>
  <si>
    <t>ExitReason</t>
  </si>
  <si>
    <t>Deceased</t>
  </si>
  <si>
    <t>Transition Youth: Positive</t>
  </si>
  <si>
    <t>Transition Youth: Uncontrollable</t>
  </si>
  <si>
    <t>Transition Youth: Unsuccessful</t>
  </si>
  <si>
    <t>GRADES</t>
  </si>
  <si>
    <t>Grades</t>
  </si>
  <si>
    <t>Graduated/GED</t>
  </si>
  <si>
    <t>OFFICIALLY PENDING MONTH</t>
  </si>
  <si>
    <t>MONTH</t>
  </si>
  <si>
    <t>June 2019</t>
  </si>
  <si>
    <t>PendingMonths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</si>
  <si>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</si>
  <si>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</si>
  <si>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</si>
  <si>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</si>
  <si>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</si>
  <si>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</si>
  <si>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</si>
  <si>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</si>
  <si>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</si>
  <si>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</si>
  <si>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</si>
  <si>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 2020</t>
  </si>
  <si>
    <t>CHECKLIST REPORTING TAB</t>
  </si>
  <si>
    <t>DESCRIPTION</t>
  </si>
  <si>
    <t>Entire Geninfo tab (C9:IC798)</t>
  </si>
  <si>
    <t>GeninfoWhole</t>
  </si>
  <si>
    <t xml:space="preserve">Fields to the right filled in Blue are data originally obtained from the YS3 Referral form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</si>
</sst>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;;;"/>
    <numFmt numFmtId="165" formatCode="0.000"/>
    <numFmt numFmtId="166" formatCode="[$-409]mmm\-yy"/>
    <numFmt numFmtId="167" formatCode="0.0"/>
    <numFmt numFmtId="168" formatCode="[$-409]mmm\-yy;@"/>
    <numFmt numFmtId="169" formatCode="&quot;$&quot;#,##0.00"/>
    <numFmt numFmtId="170" formatCode="0.00;\-0.00;;@"/>
    <numFmt numFmtId="171" formatCode="0;[Red]0"/>
    <numFmt numFmtId="172" formatCode="0_);\(0\)"/>
  </numFmts>
  <fonts count="2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2"/>
      <color rgb="FF000000"/>
      <name val="Calibri"/>
      <family val="2"/>
    </font>
    <font>
      <b/>
      <sz val="18"/>
      <color rgb="FF000000"/>
      <name val="Calibri"/>
      <family val="2"/>
    </font>
    <font>
      <b/>
      <sz val="28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  <font>
      <b/>
      <i/>
      <sz val="11"/>
      <color rgb="FF00000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598"/>
        <bgColor rgb="FFFFE598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DADADA"/>
        <bgColor rgb="FFDADADA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  <fill>
      <patternFill patternType="solid">
        <fgColor rgb="FF7030A0"/>
        <bgColor rgb="FF7030A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rgb="FFFFE598"/>
      </patternFill>
    </fill>
    <fill>
      <patternFill patternType="solid">
        <fgColor theme="1"/>
        <bgColor rgb="FF92D050"/>
      </patternFill>
    </fill>
    <fill>
      <patternFill patternType="solid">
        <fgColor theme="1"/>
        <bgColor rgb="FF00B0F0"/>
      </patternFill>
    </fill>
    <fill>
      <patternFill patternType="solid">
        <fgColor theme="1"/>
        <bgColor rgb="FFDADADA"/>
      </patternFill>
    </fill>
    <fill>
      <patternFill patternType="solid">
        <fgColor theme="1"/>
        <bgColor rgb="FFBDD6EE"/>
      </patternFill>
    </fill>
    <fill>
      <patternFill patternType="solid">
        <fgColor theme="1"/>
        <bgColor rgb="FFFBE4D5"/>
      </patternFill>
    </fill>
    <fill>
      <patternFill patternType="solid">
        <fgColor theme="1"/>
        <bgColor rgb="FF7030A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318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2" borderId="2" xfId="0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2" fillId="2" borderId="6" xfId="0" applyFont="1" applyFill="1" applyBorder="1" applyAlignment="1" applyProtection="1">
      <alignment vertical="center"/>
      <protection locked="0"/>
    </xf>
    <xf numFmtId="0" fontId="2" fillId="2" borderId="9" xfId="0" applyFont="1" applyFill="1" applyBorder="1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 applyProtection="1">
      <alignment vertical="center"/>
      <protection locked="0"/>
    </xf>
    <xf numFmtId="0" fontId="2" fillId="2" borderId="9" xfId="0" applyFont="1" applyFill="1" applyBorder="1" applyAlignment="1" applyProtection="1">
      <alignment vertical="center"/>
      <protection locked="0"/>
    </xf>
    <xf numFmtId="0" fontId="2" fillId="2" borderId="10" xfId="0" applyFont="1" applyFill="1" applyBorder="1" applyAlignment="1" applyProtection="1">
      <alignment vertical="center"/>
      <protection locked="0"/>
    </xf>
    <xf numFmtId="49" fontId="6" fillId="5" borderId="15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17" xfId="0" applyFont="1" applyFill="1" applyBorder="1" applyAlignment="1" applyProtection="1">
      <alignment horizontal="center" vertical="center" wrapText="1"/>
      <protection locked="0"/>
    </xf>
    <xf numFmtId="0" fontId="7" fillId="5" borderId="15" xfId="0" applyFont="1" applyFill="1" applyBorder="1" applyAlignment="1" applyProtection="1">
      <alignment horizontal="center" vertical="center" wrapText="1"/>
      <protection locked="0"/>
    </xf>
    <xf numFmtId="14" fontId="6" fillId="2" borderId="15" xfId="0" applyNumberFormat="1" applyFont="1" applyFill="1" applyBorder="1" applyAlignment="1" applyProtection="1">
      <alignment horizontal="center" vertical="center" wrapText="1"/>
      <protection locked="0"/>
    </xf>
    <xf numFmtId="1" fontId="6" fillId="5" borderId="1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24" xfId="0" applyFont="1" applyFill="1" applyBorder="1" applyAlignment="1" applyProtection="1">
      <alignment horizontal="center" vertical="center"/>
      <protection locked="0"/>
    </xf>
    <xf numFmtId="2" fontId="8" fillId="5" borderId="17" xfId="0" applyNumberFormat="1" applyFont="1" applyFill="1" applyBorder="1" applyAlignment="1" applyProtection="1">
      <alignment horizontal="center" vertical="center" wrapText="1"/>
      <protection locked="0"/>
    </xf>
    <xf numFmtId="0" fontId="12" fillId="5" borderId="0" xfId="0" applyFont="1" applyFill="1" applyAlignment="1" applyProtection="1">
      <alignment horizontal="center" vertical="center"/>
      <protection locked="0"/>
    </xf>
    <xf numFmtId="0" fontId="13" fillId="13" borderId="25" xfId="0" applyFont="1" applyFill="1" applyBorder="1" applyAlignment="1" applyProtection="1">
      <alignment horizontal="center" vertical="center"/>
      <protection locked="0"/>
    </xf>
    <xf numFmtId="1" fontId="6" fillId="5" borderId="15" xfId="0" applyNumberFormat="1" applyFont="1" applyFill="1" applyBorder="1" applyAlignment="1" applyProtection="1">
      <alignment horizontal="center" vertical="center" wrapText="1"/>
      <protection locked="0"/>
    </xf>
    <xf numFmtId="1" fontId="6" fillId="0" borderId="17" xfId="0" applyNumberFormat="1" applyFont="1" applyBorder="1" applyAlignment="1" applyProtection="1">
      <alignment horizontal="center" vertical="center" wrapText="1"/>
      <protection locked="0"/>
    </xf>
    <xf numFmtId="9" fontId="6" fillId="0" borderId="17" xfId="0" applyNumberFormat="1" applyFont="1" applyBorder="1" applyAlignment="1" applyProtection="1">
      <alignment horizontal="center" vertical="center" wrapText="1"/>
      <protection locked="0"/>
    </xf>
    <xf numFmtId="2" fontId="6" fillId="0" borderId="17" xfId="0" applyNumberFormat="1" applyFont="1" applyBorder="1" applyAlignment="1" applyProtection="1">
      <alignment horizontal="center" vertical="center" wrapText="1"/>
      <protection locked="0"/>
    </xf>
    <xf numFmtId="1" fontId="6" fillId="4" borderId="17" xfId="0" applyNumberFormat="1" applyFont="1" applyFill="1" applyBorder="1" applyAlignment="1" applyProtection="1">
      <alignment horizontal="center" vertical="center" wrapText="1"/>
      <protection locked="0"/>
    </xf>
    <xf numFmtId="9" fontId="6" fillId="4" borderId="17" xfId="0" applyNumberFormat="1" applyFont="1" applyFill="1" applyBorder="1" applyAlignment="1" applyProtection="1">
      <alignment horizontal="center" vertical="center" wrapText="1"/>
      <protection locked="0"/>
    </xf>
    <xf numFmtId="2" fontId="6" fillId="4" borderId="17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9" fontId="6" fillId="5" borderId="15" xfId="0" applyNumberFormat="1" applyFont="1" applyFill="1" applyBorder="1" applyAlignment="1" applyProtection="1">
      <alignment horizontal="center" vertical="center" wrapText="1"/>
      <protection locked="0"/>
    </xf>
    <xf numFmtId="2" fontId="8" fillId="5" borderId="15" xfId="0" applyNumberFormat="1" applyFont="1" applyFill="1" applyBorder="1" applyAlignment="1" applyProtection="1">
      <alignment horizontal="center" vertical="center" wrapText="1"/>
      <protection locked="0"/>
    </xf>
    <xf numFmtId="0" fontId="13" fillId="13" borderId="15" xfId="0" applyFont="1" applyFill="1" applyBorder="1" applyAlignment="1" applyProtection="1">
      <alignment horizontal="center" vertical="center"/>
      <protection locked="0"/>
    </xf>
    <xf numFmtId="0" fontId="13" fillId="14" borderId="15" xfId="0" applyFont="1" applyFill="1" applyBorder="1" applyAlignment="1" applyProtection="1">
      <alignment horizontal="center" vertical="center"/>
      <protection locked="0"/>
    </xf>
    <xf numFmtId="0" fontId="13" fillId="14" borderId="18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49" fontId="6" fillId="5" borderId="14" xfId="0" applyNumberFormat="1" applyFont="1" applyFill="1" applyBorder="1" applyAlignment="1" applyProtection="1">
      <alignment horizontal="right" vertical="center" wrapText="1"/>
      <protection locked="0"/>
    </xf>
    <xf numFmtId="0" fontId="6" fillId="5" borderId="14" xfId="0" applyFont="1" applyFill="1" applyBorder="1" applyAlignment="1" applyProtection="1">
      <alignment horizontal="right" vertical="center" wrapText="1"/>
      <protection locked="0"/>
    </xf>
    <xf numFmtId="0" fontId="7" fillId="5" borderId="14" xfId="0" applyFont="1" applyFill="1" applyBorder="1" applyAlignment="1" applyProtection="1">
      <alignment horizontal="right" vertical="center" wrapText="1"/>
      <protection locked="0"/>
    </xf>
    <xf numFmtId="1" fontId="6" fillId="5" borderId="14" xfId="0" applyNumberFormat="1" applyFont="1" applyFill="1" applyBorder="1" applyAlignment="1" applyProtection="1">
      <alignment horizontal="right" vertical="center" wrapText="1"/>
      <protection locked="0"/>
    </xf>
    <xf numFmtId="14" fontId="6" fillId="5" borderId="14" xfId="0" applyNumberFormat="1" applyFont="1" applyFill="1" applyBorder="1" applyAlignment="1" applyProtection="1">
      <alignment horizontal="right" vertical="center" wrapText="1"/>
      <protection locked="0"/>
    </xf>
    <xf numFmtId="1" fontId="6" fillId="5" borderId="14" xfId="0" applyNumberFormat="1" applyFont="1" applyFill="1" applyBorder="1" applyAlignment="1" applyProtection="1">
      <alignment horizontal="right" vertical="center"/>
      <protection locked="0"/>
    </xf>
    <xf numFmtId="9" fontId="6" fillId="5" borderId="14" xfId="0" applyNumberFormat="1" applyFont="1" applyFill="1" applyBorder="1" applyAlignment="1" applyProtection="1">
      <alignment horizontal="right" vertical="center" wrapText="1"/>
      <protection locked="0"/>
    </xf>
    <xf numFmtId="2" fontId="6" fillId="5" borderId="14" xfId="0" applyNumberFormat="1" applyFont="1" applyFill="1" applyBorder="1" applyAlignment="1" applyProtection="1">
      <alignment horizontal="right" vertical="center" wrapText="1"/>
      <protection locked="0"/>
    </xf>
    <xf numFmtId="165" fontId="6" fillId="5" borderId="14" xfId="0" applyNumberFormat="1" applyFont="1" applyFill="1" applyBorder="1" applyAlignment="1" applyProtection="1">
      <alignment horizontal="right" vertical="center" wrapText="1"/>
      <protection locked="0"/>
    </xf>
    <xf numFmtId="2" fontId="8" fillId="5" borderId="14" xfId="0" applyNumberFormat="1" applyFont="1" applyFill="1" applyBorder="1" applyAlignment="1" applyProtection="1">
      <alignment horizontal="right" vertical="center" wrapText="1"/>
      <protection locked="0"/>
    </xf>
    <xf numFmtId="166" fontId="9" fillId="15" borderId="14" xfId="0" applyNumberFormat="1" applyFont="1" applyFill="1" applyBorder="1" applyAlignment="1" applyProtection="1">
      <alignment horizontal="right" vertical="center" textRotation="180" wrapText="1"/>
      <protection locked="0"/>
    </xf>
    <xf numFmtId="166" fontId="10" fillId="15" borderId="14" xfId="0" applyNumberFormat="1" applyFont="1" applyFill="1" applyBorder="1" applyAlignment="1" applyProtection="1">
      <alignment horizontal="right" vertical="center" textRotation="180" wrapText="1"/>
      <protection locked="0"/>
    </xf>
    <xf numFmtId="167" fontId="9" fillId="16" borderId="14" xfId="0" applyNumberFormat="1" applyFont="1" applyFill="1" applyBorder="1" applyAlignment="1" applyProtection="1">
      <alignment horizontal="right" vertical="center" textRotation="180" wrapText="1"/>
      <protection locked="0"/>
    </xf>
    <xf numFmtId="167" fontId="9" fillId="17" borderId="14" xfId="0" applyNumberFormat="1" applyFont="1" applyFill="1" applyBorder="1" applyAlignment="1" applyProtection="1">
      <alignment horizontal="right" vertical="center" textRotation="180" wrapText="1"/>
      <protection locked="0"/>
    </xf>
    <xf numFmtId="166" fontId="9" fillId="5" borderId="14" xfId="0" applyNumberFormat="1" applyFont="1" applyFill="1" applyBorder="1" applyAlignment="1" applyProtection="1">
      <alignment horizontal="right" vertical="center" textRotation="180" wrapText="1"/>
      <protection locked="0"/>
    </xf>
    <xf numFmtId="49" fontId="9" fillId="5" borderId="14" xfId="0" applyNumberFormat="1" applyFont="1" applyFill="1" applyBorder="1" applyAlignment="1" applyProtection="1">
      <alignment horizontal="right" vertical="center" textRotation="180" wrapText="1"/>
      <protection locked="0"/>
    </xf>
    <xf numFmtId="166" fontId="10" fillId="17" borderId="14" xfId="0" applyNumberFormat="1" applyFont="1" applyFill="1" applyBorder="1" applyAlignment="1" applyProtection="1">
      <alignment horizontal="right" vertical="center" textRotation="180" wrapText="1"/>
      <protection locked="0"/>
    </xf>
    <xf numFmtId="166" fontId="9" fillId="18" borderId="14" xfId="0" applyNumberFormat="1" applyFont="1" applyFill="1" applyBorder="1" applyAlignment="1" applyProtection="1">
      <alignment horizontal="right" vertical="center" textRotation="180" wrapText="1"/>
      <protection locked="0"/>
    </xf>
    <xf numFmtId="166" fontId="10" fillId="19" borderId="14" xfId="0" applyNumberFormat="1" applyFont="1" applyFill="1" applyBorder="1" applyAlignment="1" applyProtection="1">
      <alignment horizontal="right" vertical="center" textRotation="180" wrapText="1"/>
      <protection locked="0"/>
    </xf>
    <xf numFmtId="0" fontId="10" fillId="20" borderId="14" xfId="0" applyFont="1" applyFill="1" applyBorder="1" applyAlignment="1" applyProtection="1">
      <alignment horizontal="right" vertical="center" textRotation="180" wrapText="1"/>
      <protection locked="0"/>
    </xf>
    <xf numFmtId="166" fontId="10" fillId="5" borderId="14" xfId="0" applyNumberFormat="1" applyFont="1" applyFill="1" applyBorder="1" applyAlignment="1" applyProtection="1">
      <alignment horizontal="right" vertical="center" textRotation="180" wrapText="1"/>
      <protection locked="0"/>
    </xf>
    <xf numFmtId="0" fontId="11" fillId="21" borderId="14" xfId="0" applyFont="1" applyFill="1" applyBorder="1" applyAlignment="1" applyProtection="1">
      <alignment horizontal="right" vertical="center" textRotation="180" wrapText="1"/>
      <protection locked="0"/>
    </xf>
    <xf numFmtId="0" fontId="10" fillId="15" borderId="14" xfId="0" applyFont="1" applyFill="1" applyBorder="1" applyAlignment="1" applyProtection="1">
      <alignment horizontal="right" vertical="center" textRotation="180" wrapText="1"/>
      <protection locked="0"/>
    </xf>
    <xf numFmtId="0" fontId="12" fillId="5" borderId="14" xfId="0" applyFont="1" applyFill="1" applyBorder="1" applyAlignment="1" applyProtection="1">
      <alignment horizontal="right" vertical="center"/>
      <protection locked="0"/>
    </xf>
    <xf numFmtId="0" fontId="1" fillId="5" borderId="14" xfId="0" applyFont="1" applyFill="1" applyBorder="1" applyAlignment="1" applyProtection="1">
      <alignment horizontal="right" vertical="center"/>
      <protection locked="0"/>
    </xf>
    <xf numFmtId="0" fontId="1" fillId="0" borderId="14" xfId="0" applyFont="1" applyBorder="1" applyAlignment="1" applyProtection="1">
      <alignment horizontal="right" vertical="center"/>
      <protection locked="0"/>
    </xf>
    <xf numFmtId="0" fontId="1" fillId="0" borderId="14" xfId="0" applyFont="1" applyBorder="1" applyAlignment="1" applyProtection="1">
      <alignment horizontal="right" vertical="center" wrapText="1"/>
      <protection locked="0"/>
    </xf>
    <xf numFmtId="0" fontId="14" fillId="22" borderId="14" xfId="0" applyFont="1" applyFill="1" applyBorder="1" applyAlignment="1" applyProtection="1">
      <alignment horizontal="right" vertical="center"/>
      <protection hidden="1"/>
    </xf>
    <xf numFmtId="0" fontId="15" fillId="0" borderId="14" xfId="3" applyBorder="1" applyAlignment="1" applyProtection="1">
      <alignment horizontal="right" vertical="center"/>
      <protection locked="0"/>
    </xf>
    <xf numFmtId="14" fontId="1" fillId="0" borderId="14" xfId="0" applyNumberFormat="1" applyFont="1" applyBorder="1" applyAlignment="1" applyProtection="1">
      <alignment horizontal="right" vertical="center"/>
      <protection locked="0"/>
    </xf>
    <xf numFmtId="168" fontId="1" fillId="0" borderId="14" xfId="0" applyNumberFormat="1" applyFont="1" applyBorder="1" applyAlignment="1" applyProtection="1">
      <alignment horizontal="right" vertical="center"/>
      <protection locked="0"/>
    </xf>
    <xf numFmtId="14" fontId="16" fillId="0" borderId="14" xfId="0" applyNumberFormat="1" applyFont="1" applyBorder="1" applyAlignment="1" applyProtection="1">
      <alignment horizontal="right" vertical="center" wrapText="1"/>
      <protection locked="0"/>
    </xf>
    <xf numFmtId="0" fontId="16" fillId="0" borderId="14" xfId="0" applyFont="1" applyBorder="1" applyAlignment="1" applyProtection="1">
      <alignment horizontal="right" vertical="center" wrapText="1"/>
      <protection locked="0"/>
    </xf>
    <xf numFmtId="1" fontId="14" fillId="22" borderId="14" xfId="0" applyNumberFormat="1" applyFont="1" applyFill="1" applyBorder="1" applyAlignment="1" applyProtection="1">
      <alignment horizontal="right" vertical="center" wrapText="1"/>
      <protection hidden="1"/>
    </xf>
    <xf numFmtId="1" fontId="14" fillId="22" borderId="14" xfId="0" applyNumberFormat="1" applyFont="1" applyFill="1" applyBorder="1" applyAlignment="1" applyProtection="1">
      <alignment horizontal="right" vertical="center"/>
      <protection hidden="1"/>
    </xf>
    <xf numFmtId="166" fontId="16" fillId="0" borderId="14" xfId="0" applyNumberFormat="1" applyFont="1" applyBorder="1" applyAlignment="1" applyProtection="1">
      <alignment horizontal="right" vertical="center"/>
      <protection locked="0"/>
    </xf>
    <xf numFmtId="9" fontId="14" fillId="22" borderId="14" xfId="2" applyFont="1" applyFill="1" applyBorder="1" applyAlignment="1" applyProtection="1">
      <alignment horizontal="right" vertical="center" wrapText="1"/>
      <protection hidden="1"/>
    </xf>
    <xf numFmtId="9" fontId="14" fillId="22" borderId="14" xfId="0" applyNumberFormat="1" applyFont="1" applyFill="1" applyBorder="1" applyAlignment="1" applyProtection="1">
      <alignment horizontal="right" vertical="center" wrapText="1"/>
      <protection hidden="1"/>
    </xf>
    <xf numFmtId="2" fontId="14" fillId="22" borderId="14" xfId="0" applyNumberFormat="1" applyFont="1" applyFill="1" applyBorder="1" applyAlignment="1" applyProtection="1">
      <alignment horizontal="right" vertical="center" wrapText="1"/>
      <protection hidden="1"/>
    </xf>
    <xf numFmtId="44" fontId="14" fillId="22" borderId="14" xfId="1" applyFont="1" applyFill="1" applyBorder="1" applyAlignment="1" applyProtection="1">
      <alignment horizontal="right" vertical="center" wrapText="1"/>
      <protection hidden="1"/>
    </xf>
    <xf numFmtId="1" fontId="16" fillId="0" borderId="14" xfId="0" applyNumberFormat="1" applyFont="1" applyBorder="1" applyAlignment="1" applyProtection="1">
      <alignment horizontal="right" vertical="center" wrapText="1"/>
      <protection locked="0"/>
    </xf>
    <xf numFmtId="2" fontId="14" fillId="0" borderId="14" xfId="0" applyNumberFormat="1" applyFont="1" applyBorder="1" applyAlignment="1" applyProtection="1">
      <alignment horizontal="right" vertical="center"/>
      <protection locked="0"/>
    </xf>
    <xf numFmtId="2" fontId="14" fillId="0" borderId="14" xfId="0" applyNumberFormat="1" applyFont="1" applyBorder="1" applyAlignment="1" applyProtection="1">
      <alignment horizontal="right" vertical="center"/>
      <protection hidden="1"/>
    </xf>
    <xf numFmtId="169" fontId="14" fillId="0" borderId="14" xfId="0" applyNumberFormat="1" applyFont="1" applyBorder="1" applyAlignment="1" applyProtection="1">
      <alignment horizontal="right" vertical="center"/>
      <protection hidden="1"/>
    </xf>
    <xf numFmtId="1" fontId="16" fillId="4" borderId="14" xfId="0" applyNumberFormat="1" applyFont="1" applyFill="1" applyBorder="1" applyAlignment="1" applyProtection="1">
      <alignment horizontal="right" vertical="center" wrapText="1"/>
      <protection locked="0"/>
    </xf>
    <xf numFmtId="14" fontId="1" fillId="4" borderId="14" xfId="0" applyNumberFormat="1" applyFont="1" applyFill="1" applyBorder="1" applyAlignment="1" applyProtection="1">
      <alignment horizontal="right" vertical="center"/>
      <protection locked="0"/>
    </xf>
    <xf numFmtId="0" fontId="1" fillId="4" borderId="14" xfId="0" applyFont="1" applyFill="1" applyBorder="1" applyAlignment="1" applyProtection="1">
      <alignment horizontal="right" vertical="center"/>
      <protection locked="0"/>
    </xf>
    <xf numFmtId="167" fontId="16" fillId="0" borderId="14" xfId="0" applyNumberFormat="1" applyFont="1" applyBorder="1" applyAlignment="1" applyProtection="1">
      <alignment horizontal="right" vertical="center" wrapText="1"/>
      <protection locked="0"/>
    </xf>
    <xf numFmtId="167" fontId="14" fillId="0" borderId="14" xfId="0" applyNumberFormat="1" applyFont="1" applyBorder="1" applyAlignment="1" applyProtection="1">
      <alignment horizontal="right" vertical="center"/>
      <protection hidden="1"/>
    </xf>
    <xf numFmtId="9" fontId="1" fillId="4" borderId="14" xfId="0" applyNumberFormat="1" applyFont="1" applyFill="1" applyBorder="1" applyAlignment="1" applyProtection="1">
      <alignment horizontal="right" vertical="center"/>
      <protection locked="0"/>
    </xf>
    <xf numFmtId="2" fontId="14" fillId="0" borderId="14" xfId="0" applyNumberFormat="1" applyFont="1" applyBorder="1" applyAlignment="1" applyProtection="1">
      <alignment horizontal="right" vertical="center" wrapText="1"/>
      <protection hidden="1"/>
    </xf>
    <xf numFmtId="9" fontId="1" fillId="0" borderId="14" xfId="0" applyNumberFormat="1" applyFont="1" applyBorder="1" applyAlignment="1" applyProtection="1">
      <alignment horizontal="right" vertical="center"/>
      <protection locked="0"/>
    </xf>
    <xf numFmtId="2" fontId="14" fillId="0" borderId="14" xfId="0" applyNumberFormat="1" applyFont="1" applyBorder="1" applyAlignment="1" applyProtection="1">
      <alignment horizontal="right" vertical="center" wrapText="1"/>
      <protection locked="0"/>
    </xf>
    <xf numFmtId="169" fontId="14" fillId="0" borderId="14" xfId="0" applyNumberFormat="1" applyFont="1" applyBorder="1" applyAlignment="1" applyProtection="1">
      <alignment horizontal="right" vertical="center" wrapText="1"/>
      <protection locked="0"/>
    </xf>
    <xf numFmtId="2" fontId="16" fillId="4" borderId="14" xfId="0" applyNumberFormat="1" applyFont="1" applyFill="1" applyBorder="1" applyAlignment="1" applyProtection="1">
      <alignment horizontal="right" vertical="center" wrapText="1"/>
      <protection locked="0"/>
    </xf>
    <xf numFmtId="169" fontId="16" fillId="4" borderId="14" xfId="0" applyNumberFormat="1" applyFont="1" applyFill="1" applyBorder="1" applyAlignment="1" applyProtection="1">
      <alignment horizontal="right" vertical="center" wrapText="1"/>
      <protection locked="0"/>
    </xf>
    <xf numFmtId="2" fontId="16" fillId="0" borderId="14" xfId="0" applyNumberFormat="1" applyFont="1" applyBorder="1" applyAlignment="1" applyProtection="1">
      <alignment horizontal="right" vertical="center" wrapText="1"/>
      <protection locked="0"/>
    </xf>
    <xf numFmtId="169" fontId="16" fillId="0" borderId="14" xfId="0" applyNumberFormat="1" applyFont="1" applyBorder="1" applyAlignment="1" applyProtection="1">
      <alignment horizontal="right" vertical="center" wrapText="1"/>
      <protection locked="0"/>
    </xf>
    <xf numFmtId="0" fontId="14" fillId="0" borderId="14" xfId="0" applyFont="1" applyBorder="1" applyAlignment="1" applyProtection="1">
      <alignment horizontal="right" vertical="center"/>
      <protection locked="0"/>
    </xf>
    <xf numFmtId="2" fontId="14" fillId="22" borderId="14" xfId="0" applyNumberFormat="1" applyFont="1" applyFill="1" applyBorder="1" applyAlignment="1" applyProtection="1">
      <alignment horizontal="right" vertical="center"/>
      <protection hidden="1"/>
    </xf>
    <xf numFmtId="2" fontId="1" fillId="0" borderId="14" xfId="0" applyNumberFormat="1" applyFont="1" applyBorder="1" applyAlignment="1" applyProtection="1">
      <alignment horizontal="right" vertical="center"/>
      <protection locked="0"/>
    </xf>
    <xf numFmtId="0" fontId="1" fillId="22" borderId="14" xfId="0" applyFont="1" applyFill="1" applyBorder="1" applyAlignment="1" applyProtection="1">
      <alignment horizontal="right" vertical="center"/>
      <protection hidden="1"/>
    </xf>
    <xf numFmtId="170" fontId="14" fillId="0" borderId="14" xfId="0" applyNumberFormat="1" applyFont="1" applyBorder="1" applyAlignment="1" applyProtection="1">
      <alignment horizontal="right" vertical="center"/>
      <protection locked="0"/>
    </xf>
    <xf numFmtId="0" fontId="12" fillId="0" borderId="14" xfId="0" applyFont="1" applyBorder="1" applyAlignment="1" applyProtection="1">
      <alignment horizontal="right" vertical="center"/>
      <protection locked="0"/>
    </xf>
    <xf numFmtId="164" fontId="14" fillId="22" borderId="29" xfId="0" applyNumberFormat="1" applyFont="1" applyFill="1" applyBorder="1" applyAlignment="1" applyProtection="1">
      <alignment horizontal="right" vertical="center"/>
      <protection hidden="1"/>
    </xf>
    <xf numFmtId="164" fontId="14" fillId="22" borderId="14" xfId="0" applyNumberFormat="1" applyFont="1" applyFill="1" applyBorder="1" applyAlignment="1" applyProtection="1">
      <alignment horizontal="right" vertical="center"/>
      <protection hidden="1"/>
    </xf>
    <xf numFmtId="164" fontId="14" fillId="22" borderId="30" xfId="0" applyNumberFormat="1" applyFont="1" applyFill="1" applyBorder="1" applyAlignment="1" applyProtection="1">
      <alignment horizontal="right" vertical="center"/>
      <protection hidden="1"/>
    </xf>
    <xf numFmtId="49" fontId="14" fillId="0" borderId="14" xfId="0" applyNumberFormat="1" applyFont="1" applyBorder="1" applyAlignment="1" applyProtection="1">
      <alignment horizontal="right" vertical="center"/>
      <protection locked="0"/>
    </xf>
    <xf numFmtId="49" fontId="14" fillId="0" borderId="14" xfId="0" applyNumberFormat="1" applyFont="1" applyBorder="1" applyAlignment="1" applyProtection="1">
      <alignment horizontal="right" vertical="center" wrapText="1"/>
      <protection locked="0"/>
    </xf>
    <xf numFmtId="0" fontId="14" fillId="0" borderId="14" xfId="0" applyFont="1" applyBorder="1" applyAlignment="1" applyProtection="1">
      <alignment horizontal="right" vertical="center" wrapText="1"/>
      <protection locked="0"/>
    </xf>
    <xf numFmtId="14" fontId="14" fillId="0" borderId="14" xfId="0" applyNumberFormat="1" applyFont="1" applyBorder="1" applyAlignment="1" applyProtection="1">
      <alignment horizontal="right" vertical="center"/>
      <protection locked="0"/>
    </xf>
    <xf numFmtId="168" fontId="14" fillId="0" borderId="14" xfId="0" applyNumberFormat="1" applyFont="1" applyBorder="1" applyAlignment="1" applyProtection="1">
      <alignment horizontal="right" vertical="center"/>
      <protection locked="0"/>
    </xf>
    <xf numFmtId="14" fontId="14" fillId="0" borderId="14" xfId="0" applyNumberFormat="1" applyFont="1" applyBorder="1" applyAlignment="1" applyProtection="1">
      <alignment horizontal="right" vertical="center" wrapText="1"/>
      <protection locked="0"/>
    </xf>
    <xf numFmtId="0" fontId="14" fillId="5" borderId="14" xfId="0" applyFont="1" applyFill="1" applyBorder="1" applyAlignment="1" applyProtection="1">
      <alignment horizontal="right" vertical="center"/>
      <protection locked="0"/>
    </xf>
    <xf numFmtId="1" fontId="14" fillId="5" borderId="14" xfId="0" applyNumberFormat="1" applyFont="1" applyFill="1" applyBorder="1" applyAlignment="1" applyProtection="1">
      <alignment horizontal="right" vertical="center" wrapText="1"/>
      <protection locked="0"/>
    </xf>
    <xf numFmtId="166" fontId="14" fillId="0" borderId="14" xfId="0" applyNumberFormat="1" applyFont="1" applyBorder="1" applyAlignment="1" applyProtection="1">
      <alignment horizontal="right" vertical="center"/>
      <protection locked="0"/>
    </xf>
    <xf numFmtId="1" fontId="14" fillId="0" borderId="14" xfId="0" applyNumberFormat="1" applyFont="1" applyBorder="1" applyAlignment="1" applyProtection="1">
      <alignment horizontal="right" vertical="center" wrapText="1"/>
      <protection locked="0"/>
    </xf>
    <xf numFmtId="1" fontId="14" fillId="0" borderId="14" xfId="0" applyNumberFormat="1" applyFont="1" applyBorder="1" applyAlignment="1" applyProtection="1">
      <alignment horizontal="right" vertical="center"/>
      <protection locked="0"/>
    </xf>
    <xf numFmtId="1" fontId="14" fillId="4" borderId="14" xfId="0" applyNumberFormat="1" applyFont="1" applyFill="1" applyBorder="1" applyAlignment="1" applyProtection="1">
      <alignment horizontal="right" vertical="center" wrapText="1"/>
      <protection locked="0"/>
    </xf>
    <xf numFmtId="14" fontId="14" fillId="4" borderId="14" xfId="0" applyNumberFormat="1" applyFont="1" applyFill="1" applyBorder="1" applyAlignment="1" applyProtection="1">
      <alignment horizontal="right" vertical="center" wrapText="1"/>
      <protection locked="0"/>
    </xf>
    <xf numFmtId="0" fontId="14" fillId="4" borderId="14" xfId="0" applyFont="1" applyFill="1" applyBorder="1" applyAlignment="1" applyProtection="1">
      <alignment horizontal="right" vertical="center"/>
      <protection locked="0"/>
    </xf>
    <xf numFmtId="167" fontId="14" fillId="0" borderId="14" xfId="0" applyNumberFormat="1" applyFont="1" applyBorder="1" applyAlignment="1" applyProtection="1">
      <alignment horizontal="right" vertical="center" wrapText="1"/>
      <protection locked="0"/>
    </xf>
    <xf numFmtId="9" fontId="14" fillId="4" borderId="14" xfId="0" applyNumberFormat="1" applyFont="1" applyFill="1" applyBorder="1" applyAlignment="1" applyProtection="1">
      <alignment horizontal="right" vertical="center"/>
      <protection locked="0"/>
    </xf>
    <xf numFmtId="14" fontId="14" fillId="4" borderId="14" xfId="0" applyNumberFormat="1" applyFont="1" applyFill="1" applyBorder="1" applyAlignment="1" applyProtection="1">
      <alignment horizontal="right" vertical="center"/>
      <protection locked="0"/>
    </xf>
    <xf numFmtId="9" fontId="14" fillId="0" borderId="14" xfId="0" applyNumberFormat="1" applyFont="1" applyBorder="1" applyAlignment="1" applyProtection="1">
      <alignment horizontal="right" vertical="center"/>
      <protection locked="0"/>
    </xf>
    <xf numFmtId="2" fontId="14" fillId="4" borderId="14" xfId="0" applyNumberFormat="1" applyFont="1" applyFill="1" applyBorder="1" applyAlignment="1" applyProtection="1">
      <alignment horizontal="right" vertical="center" wrapText="1"/>
      <protection locked="0"/>
    </xf>
    <xf numFmtId="0" fontId="14" fillId="23" borderId="14" xfId="0" applyFont="1" applyFill="1" applyBorder="1" applyAlignment="1" applyProtection="1">
      <alignment horizontal="right" vertical="center"/>
      <protection locked="0"/>
    </xf>
    <xf numFmtId="0" fontId="17" fillId="0" borderId="14" xfId="0" applyFont="1" applyBorder="1" applyAlignment="1" applyProtection="1">
      <alignment horizontal="right" vertical="center"/>
      <protection locked="0"/>
    </xf>
    <xf numFmtId="0" fontId="15" fillId="0" borderId="14" xfId="3" applyFill="1" applyBorder="1" applyAlignment="1" applyProtection="1">
      <alignment horizontal="right" vertical="center"/>
      <protection locked="0"/>
    </xf>
    <xf numFmtId="166" fontId="14" fillId="5" borderId="14" xfId="0" applyNumberFormat="1" applyFont="1" applyFill="1" applyBorder="1" applyAlignment="1" applyProtection="1">
      <alignment horizontal="right" vertical="center" wrapText="1"/>
      <protection locked="0"/>
    </xf>
    <xf numFmtId="1" fontId="14" fillId="4" borderId="14" xfId="0" applyNumberFormat="1" applyFont="1" applyFill="1" applyBorder="1" applyAlignment="1" applyProtection="1">
      <alignment horizontal="right" vertical="center"/>
      <protection locked="0"/>
    </xf>
    <xf numFmtId="1" fontId="14" fillId="5" borderId="14" xfId="0" applyNumberFormat="1" applyFont="1" applyFill="1" applyBorder="1" applyAlignment="1" applyProtection="1">
      <alignment horizontal="right" vertical="center"/>
      <protection locked="0"/>
    </xf>
    <xf numFmtId="2" fontId="14" fillId="5" borderId="14" xfId="0" applyNumberFormat="1" applyFont="1" applyFill="1" applyBorder="1" applyAlignment="1" applyProtection="1">
      <alignment horizontal="right" vertical="center"/>
      <protection locked="0"/>
    </xf>
    <xf numFmtId="0" fontId="14" fillId="0" borderId="14" xfId="0" applyFont="1" applyBorder="1" applyAlignment="1" applyProtection="1">
      <alignment horizontal="right"/>
      <protection locked="0"/>
    </xf>
    <xf numFmtId="0" fontId="0" fillId="0" borderId="0" xfId="0" applyAlignment="1">
      <alignment horizontal="right"/>
    </xf>
    <xf numFmtId="0" fontId="17" fillId="5" borderId="14" xfId="0" applyFont="1" applyFill="1" applyBorder="1" applyAlignment="1" applyProtection="1">
      <alignment horizontal="right" vertical="center"/>
      <protection locked="0"/>
    </xf>
    <xf numFmtId="1" fontId="17" fillId="4" borderId="14" xfId="0" applyNumberFormat="1" applyFont="1" applyFill="1" applyBorder="1" applyAlignment="1" applyProtection="1">
      <alignment horizontal="right" vertical="center"/>
      <protection locked="0"/>
    </xf>
    <xf numFmtId="1" fontId="14" fillId="24" borderId="14" xfId="0" applyNumberFormat="1" applyFont="1" applyFill="1" applyBorder="1" applyAlignment="1" applyProtection="1">
      <alignment horizontal="right" vertical="center" wrapText="1"/>
      <protection locked="0"/>
    </xf>
    <xf numFmtId="167" fontId="17" fillId="5" borderId="14" xfId="0" applyNumberFormat="1" applyFont="1" applyFill="1" applyBorder="1" applyAlignment="1" applyProtection="1">
      <alignment horizontal="right" vertical="center"/>
      <protection locked="0"/>
    </xf>
    <xf numFmtId="0" fontId="1" fillId="0" borderId="14" xfId="0" applyFont="1" applyBorder="1" applyAlignment="1" applyProtection="1">
      <alignment horizontal="right"/>
      <protection locked="0"/>
    </xf>
    <xf numFmtId="17" fontId="1" fillId="0" borderId="14" xfId="0" applyNumberFormat="1" applyFont="1" applyBorder="1" applyAlignment="1" applyProtection="1">
      <alignment horizontal="right" vertical="center"/>
      <protection locked="0"/>
    </xf>
    <xf numFmtId="0" fontId="1" fillId="25" borderId="14" xfId="0" applyFont="1" applyFill="1" applyBorder="1" applyAlignment="1" applyProtection="1">
      <alignment horizontal="right" vertical="center"/>
      <protection locked="0"/>
    </xf>
    <xf numFmtId="0" fontId="14" fillId="0" borderId="14" xfId="0" quotePrefix="1" applyFont="1" applyBorder="1" applyAlignment="1" applyProtection="1">
      <alignment horizontal="right"/>
      <protection locked="0"/>
    </xf>
    <xf numFmtId="0" fontId="14" fillId="0" borderId="14" xfId="0" quotePrefix="1" applyFont="1" applyBorder="1" applyAlignment="1" applyProtection="1">
      <alignment horizontal="right" vertical="center"/>
      <protection locked="0"/>
    </xf>
    <xf numFmtId="0" fontId="14" fillId="5" borderId="14" xfId="0" quotePrefix="1" applyFont="1" applyFill="1" applyBorder="1" applyAlignment="1" applyProtection="1">
      <alignment horizontal="right" vertical="center"/>
      <protection locked="0"/>
    </xf>
    <xf numFmtId="14" fontId="14" fillId="0" borderId="14" xfId="0" quotePrefix="1" applyNumberFormat="1" applyFont="1" applyBorder="1" applyAlignment="1" applyProtection="1">
      <alignment horizontal="right" vertical="center"/>
      <protection locked="0"/>
    </xf>
    <xf numFmtId="172" fontId="14" fillId="0" borderId="14" xfId="0" applyNumberFormat="1" applyFont="1" applyBorder="1" applyAlignment="1" applyProtection="1">
      <alignment horizontal="right" vertical="center"/>
      <protection locked="0"/>
    </xf>
    <xf numFmtId="0" fontId="17" fillId="0" borderId="14" xfId="0" applyFont="1" applyBorder="1" applyAlignment="1" applyProtection="1">
      <alignment horizontal="right" vertical="center" wrapText="1"/>
      <protection locked="0"/>
    </xf>
    <xf numFmtId="49" fontId="14" fillId="0" borderId="14" xfId="0" applyNumberFormat="1" applyFont="1" applyBorder="1" applyAlignment="1" applyProtection="1">
      <alignment horizontal="right" wrapText="1"/>
      <protection locked="0"/>
    </xf>
    <xf numFmtId="49" fontId="14" fillId="5" borderId="14" xfId="0" applyNumberFormat="1" applyFont="1" applyFill="1" applyBorder="1" applyAlignment="1" applyProtection="1">
      <alignment horizontal="right" vertical="center" wrapText="1"/>
      <protection locked="0"/>
    </xf>
    <xf numFmtId="1" fontId="17" fillId="5" borderId="14" xfId="0" applyNumberFormat="1" applyFont="1" applyFill="1" applyBorder="1" applyAlignment="1" applyProtection="1">
      <alignment horizontal="right" vertical="center" wrapText="1"/>
      <protection locked="0"/>
    </xf>
    <xf numFmtId="1" fontId="17" fillId="0" borderId="14" xfId="0" applyNumberFormat="1" applyFont="1" applyBorder="1" applyAlignment="1" applyProtection="1">
      <alignment horizontal="right" vertical="center" wrapText="1"/>
      <protection locked="0"/>
    </xf>
    <xf numFmtId="14" fontId="17" fillId="0" borderId="14" xfId="0" applyNumberFormat="1" applyFont="1" applyBorder="1" applyAlignment="1" applyProtection="1">
      <alignment horizontal="right" vertical="center" wrapText="1"/>
      <protection locked="0"/>
    </xf>
    <xf numFmtId="14" fontId="17" fillId="4" borderId="14" xfId="0" applyNumberFormat="1" applyFont="1" applyFill="1" applyBorder="1" applyAlignment="1" applyProtection="1">
      <alignment horizontal="right" vertical="center" wrapText="1"/>
      <protection locked="0"/>
    </xf>
    <xf numFmtId="1" fontId="16" fillId="24" borderId="14" xfId="0" applyNumberFormat="1" applyFont="1" applyFill="1" applyBorder="1" applyAlignment="1" applyProtection="1">
      <alignment horizontal="right" vertical="center" wrapText="1"/>
      <protection locked="0"/>
    </xf>
    <xf numFmtId="0" fontId="14" fillId="5" borderId="14" xfId="0" applyFont="1" applyFill="1" applyBorder="1" applyAlignment="1" applyProtection="1">
      <alignment horizontal="right" vertical="center" wrapText="1"/>
      <protection locked="0"/>
    </xf>
    <xf numFmtId="16" fontId="1" fillId="0" borderId="14" xfId="0" applyNumberFormat="1" applyFont="1" applyBorder="1" applyAlignment="1" applyProtection="1">
      <alignment horizontal="right" vertical="center"/>
      <protection locked="0"/>
    </xf>
    <xf numFmtId="171" fontId="17" fillId="5" borderId="14" xfId="0" applyNumberFormat="1" applyFont="1" applyFill="1" applyBorder="1" applyAlignment="1" applyProtection="1">
      <alignment horizontal="right" vertical="center"/>
      <protection locked="0"/>
    </xf>
    <xf numFmtId="10" fontId="14" fillId="0" borderId="14" xfId="0" applyNumberFormat="1" applyFont="1" applyBorder="1" applyAlignment="1" applyProtection="1">
      <alignment horizontal="right" vertical="center" wrapText="1"/>
      <protection locked="0"/>
    </xf>
    <xf numFmtId="49" fontId="14" fillId="0" borderId="14" xfId="0" applyNumberFormat="1" applyFont="1" applyBorder="1" applyAlignment="1" applyProtection="1">
      <alignment horizontal="right"/>
      <protection locked="0"/>
    </xf>
    <xf numFmtId="49" fontId="14" fillId="5" borderId="14" xfId="0" applyNumberFormat="1" applyFont="1" applyFill="1" applyBorder="1" applyAlignment="1" applyProtection="1">
      <alignment horizontal="right" vertical="center"/>
      <protection locked="0"/>
    </xf>
    <xf numFmtId="170" fontId="14" fillId="23" borderId="14" xfId="0" applyNumberFormat="1" applyFont="1" applyFill="1" applyBorder="1" applyAlignment="1" applyProtection="1">
      <alignment horizontal="right" vertical="center"/>
      <protection locked="0"/>
    </xf>
    <xf numFmtId="0" fontId="1" fillId="23" borderId="14" xfId="0" applyFont="1" applyFill="1" applyBorder="1" applyAlignment="1" applyProtection="1">
      <alignment horizontal="right" vertical="center"/>
      <protection locked="0"/>
    </xf>
    <xf numFmtId="0" fontId="1" fillId="26" borderId="14" xfId="0" applyFont="1" applyFill="1" applyBorder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right" vertical="center" wrapText="1"/>
      <protection locked="0"/>
    </xf>
    <xf numFmtId="0" fontId="1" fillId="5" borderId="0" xfId="0" applyFont="1" applyFill="1" applyAlignment="1" applyProtection="1">
      <alignment horizontal="right" vertical="center"/>
      <protection locked="0"/>
    </xf>
    <xf numFmtId="0" fontId="12" fillId="0" borderId="0" xfId="0" applyFont="1" applyAlignment="1" applyProtection="1">
      <alignment horizontal="right" vertical="center"/>
      <protection locked="0"/>
    </xf>
    <xf numFmtId="0" fontId="1" fillId="25" borderId="0" xfId="0" applyFont="1" applyFill="1" applyAlignment="1" applyProtection="1">
      <alignment horizontal="right" vertical="center"/>
      <protection locked="0"/>
    </xf>
    <xf numFmtId="0" fontId="1" fillId="0" borderId="0" xfId="0" applyFont="1"/>
    <xf numFmtId="0" fontId="12" fillId="0" borderId="37" xfId="0" applyFont="1" applyBorder="1"/>
    <xf numFmtId="0" fontId="12" fillId="0" borderId="38" xfId="0" applyFont="1" applyBorder="1"/>
    <xf numFmtId="0" fontId="12" fillId="0" borderId="29" xfId="0" applyFont="1" applyBorder="1"/>
    <xf numFmtId="0" fontId="12" fillId="0" borderId="30" xfId="0" applyFont="1" applyBorder="1"/>
    <xf numFmtId="0" fontId="1" fillId="0" borderId="29" xfId="0" applyFont="1" applyBorder="1"/>
    <xf numFmtId="0" fontId="1" fillId="0" borderId="29" xfId="0" applyFont="1" applyBorder="1" applyAlignment="1">
      <alignment horizontal="center" vertical="center" wrapText="1"/>
    </xf>
    <xf numFmtId="0" fontId="1" fillId="0" borderId="40" xfId="0" applyFont="1" applyBorder="1"/>
    <xf numFmtId="0" fontId="1" fillId="0" borderId="40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right" vertical="center" wrapText="1"/>
    </xf>
    <xf numFmtId="0" fontId="1" fillId="0" borderId="40" xfId="0" applyFont="1" applyBorder="1" applyAlignment="1">
      <alignment horizontal="right"/>
    </xf>
    <xf numFmtId="0" fontId="1" fillId="0" borderId="31" xfId="0" applyFont="1" applyBorder="1"/>
    <xf numFmtId="0" fontId="12" fillId="0" borderId="29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" fillId="0" borderId="45" xfId="0" applyFont="1" applyBorder="1"/>
    <xf numFmtId="0" fontId="1" fillId="0" borderId="46" xfId="0" applyFont="1" applyBorder="1"/>
    <xf numFmtId="0" fontId="1" fillId="0" borderId="47" xfId="0" applyFont="1" applyBorder="1"/>
    <xf numFmtId="49" fontId="1" fillId="0" borderId="29" xfId="0" applyNumberFormat="1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49" fontId="1" fillId="0" borderId="40" xfId="0" applyNumberFormat="1" applyFont="1" applyBorder="1" applyAlignment="1">
      <alignment horizontal="center"/>
    </xf>
    <xf numFmtId="0" fontId="1" fillId="0" borderId="42" xfId="0" applyFont="1" applyBorder="1"/>
    <xf numFmtId="1" fontId="6" fillId="27" borderId="15" xfId="0" applyNumberFormat="1" applyFont="1" applyFill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right" vertical="center"/>
      <protection locked="0"/>
    </xf>
    <xf numFmtId="164" fontId="3" fillId="0" borderId="2" xfId="0" applyNumberFormat="1" applyFont="1" applyBorder="1" applyAlignment="1" applyProtection="1">
      <alignment horizontal="right" vertical="center"/>
      <protection locked="0"/>
    </xf>
    <xf numFmtId="164" fontId="3" fillId="0" borderId="3" xfId="0" applyNumberFormat="1" applyFont="1" applyBorder="1" applyAlignment="1" applyProtection="1">
      <alignment horizontal="right" vertical="center"/>
      <protection locked="0"/>
    </xf>
    <xf numFmtId="164" fontId="3" fillId="0" borderId="5" xfId="0" applyNumberFormat="1" applyFont="1" applyBorder="1" applyAlignment="1" applyProtection="1">
      <alignment horizontal="right" vertical="center"/>
      <protection locked="0"/>
    </xf>
    <xf numFmtId="164" fontId="3" fillId="0" borderId="0" xfId="0" applyNumberFormat="1" applyFont="1" applyAlignment="1" applyProtection="1">
      <alignment horizontal="right" vertical="center"/>
      <protection locked="0"/>
    </xf>
    <xf numFmtId="164" fontId="3" fillId="0" borderId="6" xfId="0" applyNumberFormat="1" applyFont="1" applyBorder="1" applyAlignment="1" applyProtection="1">
      <alignment horizontal="right" vertical="center"/>
      <protection locked="0"/>
    </xf>
    <xf numFmtId="164" fontId="3" fillId="0" borderId="11" xfId="0" applyNumberFormat="1" applyFont="1" applyBorder="1" applyAlignment="1" applyProtection="1">
      <alignment horizontal="right" vertical="center"/>
      <protection locked="0"/>
    </xf>
    <xf numFmtId="164" fontId="3" fillId="0" borderId="12" xfId="0" applyNumberFormat="1" applyFont="1" applyBorder="1" applyAlignment="1" applyProtection="1">
      <alignment horizontal="right" vertical="center"/>
      <protection locked="0"/>
    </xf>
    <xf numFmtId="164" fontId="3" fillId="0" borderId="13" xfId="0" applyNumberFormat="1" applyFont="1" applyBorder="1" applyAlignment="1" applyProtection="1">
      <alignment horizontal="right" vertical="center"/>
      <protection locked="0"/>
    </xf>
    <xf numFmtId="0" fontId="5" fillId="2" borderId="14" xfId="0" applyFont="1" applyFill="1" applyBorder="1" applyAlignment="1" applyProtection="1">
      <alignment horizontal="center" vertical="center"/>
      <protection locked="0"/>
    </xf>
    <xf numFmtId="166" fontId="9" fillId="6" borderId="17" xfId="0" applyNumberFormat="1" applyFont="1" applyFill="1" applyBorder="1" applyAlignment="1" applyProtection="1">
      <alignment horizontal="center" vertical="center" textRotation="180" wrapText="1"/>
      <protection locked="0"/>
    </xf>
    <xf numFmtId="166" fontId="9" fillId="6" borderId="15" xfId="0" applyNumberFormat="1" applyFont="1" applyFill="1" applyBorder="1" applyAlignment="1" applyProtection="1">
      <alignment horizontal="center" vertical="center" textRotation="180" wrapText="1"/>
      <protection locked="0"/>
    </xf>
    <xf numFmtId="166" fontId="10" fillId="6" borderId="17" xfId="0" applyNumberFormat="1" applyFont="1" applyFill="1" applyBorder="1" applyAlignment="1" applyProtection="1">
      <alignment horizontal="center" vertical="center" textRotation="180" wrapText="1"/>
      <protection locked="0"/>
    </xf>
    <xf numFmtId="166" fontId="10" fillId="6" borderId="15" xfId="0" applyNumberFormat="1" applyFont="1" applyFill="1" applyBorder="1" applyAlignment="1" applyProtection="1">
      <alignment horizontal="center" vertical="center" textRotation="180" wrapText="1"/>
      <protection locked="0"/>
    </xf>
    <xf numFmtId="0" fontId="4" fillId="4" borderId="4" xfId="0" applyFont="1" applyFill="1" applyBorder="1" applyAlignment="1" applyProtection="1">
      <alignment horizontal="right" vertical="center" textRotation="255"/>
      <protection locked="0"/>
    </xf>
    <xf numFmtId="0" fontId="4" fillId="4" borderId="7" xfId="0" applyFont="1" applyFill="1" applyBorder="1" applyAlignment="1" applyProtection="1">
      <alignment horizontal="right" vertical="center" textRotation="255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167" fontId="9" fillId="7" borderId="17" xfId="0" applyNumberFormat="1" applyFont="1" applyFill="1" applyBorder="1" applyAlignment="1" applyProtection="1">
      <alignment horizontal="center" vertical="center" textRotation="180" wrapText="1"/>
      <protection locked="0"/>
    </xf>
    <xf numFmtId="167" fontId="9" fillId="7" borderId="15" xfId="0" applyNumberFormat="1" applyFont="1" applyFill="1" applyBorder="1" applyAlignment="1" applyProtection="1">
      <alignment horizontal="center" vertical="center" textRotation="180" wrapText="1"/>
      <protection locked="0"/>
    </xf>
    <xf numFmtId="167" fontId="9" fillId="8" borderId="17" xfId="0" applyNumberFormat="1" applyFont="1" applyFill="1" applyBorder="1" applyAlignment="1" applyProtection="1">
      <alignment horizontal="center" vertical="center" textRotation="180" wrapText="1"/>
      <protection locked="0"/>
    </xf>
    <xf numFmtId="167" fontId="9" fillId="8" borderId="15" xfId="0" applyNumberFormat="1" applyFont="1" applyFill="1" applyBorder="1" applyAlignment="1" applyProtection="1">
      <alignment horizontal="center" vertical="center" textRotation="180" wrapText="1"/>
      <protection locked="0"/>
    </xf>
    <xf numFmtId="49" fontId="6" fillId="2" borderId="15" xfId="0" applyNumberFormat="1" applyFont="1" applyFill="1" applyBorder="1" applyAlignment="1" applyProtection="1">
      <alignment horizontal="center" vertical="center" wrapText="1"/>
      <protection locked="0"/>
    </xf>
    <xf numFmtId="0" fontId="6" fillId="27" borderId="15" xfId="0" applyFont="1" applyFill="1" applyBorder="1" applyAlignment="1" applyProtection="1">
      <alignment horizontal="center" vertical="center" wrapText="1"/>
      <protection locked="0"/>
    </xf>
    <xf numFmtId="49" fontId="6" fillId="27" borderId="15" xfId="0" applyNumberFormat="1" applyFont="1" applyFill="1" applyBorder="1" applyAlignment="1" applyProtection="1">
      <alignment horizontal="center" vertical="center" wrapText="1"/>
      <protection locked="0"/>
    </xf>
    <xf numFmtId="49" fontId="6" fillId="2" borderId="16" xfId="0" applyNumberFormat="1" applyFont="1" applyFill="1" applyBorder="1" applyAlignment="1" applyProtection="1">
      <alignment horizontal="center" vertical="center" wrapText="1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 applyProtection="1">
      <alignment horizontal="center" vertical="center" wrapText="1"/>
      <protection locked="0"/>
    </xf>
    <xf numFmtId="0" fontId="2" fillId="2" borderId="9" xfId="0" applyFont="1" applyFill="1" applyBorder="1" applyAlignment="1" applyProtection="1">
      <alignment horizontal="center" vertical="center" wrapText="1"/>
      <protection locked="0"/>
    </xf>
    <xf numFmtId="0" fontId="2" fillId="2" borderId="10" xfId="0" applyFont="1" applyFill="1" applyBorder="1" applyAlignment="1" applyProtection="1">
      <alignment horizontal="center" vertical="center" wrapText="1"/>
      <protection locked="0"/>
    </xf>
    <xf numFmtId="49" fontId="6" fillId="27" borderId="16" xfId="0" applyNumberFormat="1" applyFont="1" applyFill="1" applyBorder="1" applyAlignment="1" applyProtection="1">
      <alignment horizontal="center" vertical="center" wrapText="1"/>
      <protection locked="0"/>
    </xf>
    <xf numFmtId="49" fontId="6" fillId="27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27" borderId="15" xfId="0" applyFont="1" applyFill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0" fontId="7" fillId="27" borderId="17" xfId="0" applyFont="1" applyFill="1" applyBorder="1" applyAlignment="1" applyProtection="1">
      <alignment horizontal="center" vertical="center" wrapText="1"/>
      <protection locked="0"/>
    </xf>
    <xf numFmtId="1" fontId="6" fillId="27" borderId="17" xfId="0" applyNumberFormat="1" applyFont="1" applyFill="1" applyBorder="1" applyAlignment="1" applyProtection="1">
      <alignment horizontal="center" vertical="center" wrapText="1"/>
      <protection locked="0"/>
    </xf>
    <xf numFmtId="1" fontId="6" fillId="27" borderId="15" xfId="0" applyNumberFormat="1" applyFont="1" applyFill="1" applyBorder="1" applyAlignment="1" applyProtection="1">
      <alignment horizontal="center" vertical="center" wrapText="1"/>
      <protection locked="0"/>
    </xf>
    <xf numFmtId="0" fontId="6" fillId="27" borderId="17" xfId="0" applyFont="1" applyFill="1" applyBorder="1" applyAlignment="1" applyProtection="1">
      <alignment horizontal="center" vertical="center" wrapText="1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1" fontId="6" fillId="2" borderId="15" xfId="0" applyNumberFormat="1" applyFont="1" applyFill="1" applyBorder="1" applyAlignment="1" applyProtection="1">
      <alignment horizontal="center" vertical="center" wrapText="1"/>
      <protection locked="0"/>
    </xf>
    <xf numFmtId="14" fontId="6" fillId="27" borderId="15" xfId="0" applyNumberFormat="1" applyFont="1" applyFill="1" applyBorder="1" applyAlignment="1" applyProtection="1">
      <alignment horizontal="center" vertical="center" wrapText="1"/>
      <protection locked="0"/>
    </xf>
    <xf numFmtId="1" fontId="6" fillId="27" borderId="15" xfId="0" applyNumberFormat="1" applyFont="1" applyFill="1" applyBorder="1" applyAlignment="1" applyProtection="1">
      <alignment horizontal="center" vertical="center"/>
      <protection locked="0"/>
    </xf>
    <xf numFmtId="1" fontId="6" fillId="4" borderId="15" xfId="0" applyNumberFormat="1" applyFont="1" applyFill="1" applyBorder="1" applyAlignment="1" applyProtection="1">
      <alignment horizontal="center" vertical="center" wrapText="1"/>
      <protection locked="0"/>
    </xf>
    <xf numFmtId="1" fontId="6" fillId="27" borderId="16" xfId="0" applyNumberFormat="1" applyFont="1" applyFill="1" applyBorder="1" applyAlignment="1" applyProtection="1">
      <alignment horizontal="center" vertical="center" wrapText="1"/>
      <protection locked="0"/>
    </xf>
    <xf numFmtId="1" fontId="6" fillId="27" borderId="28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/>
      <protection locked="0"/>
    </xf>
    <xf numFmtId="0" fontId="5" fillId="0" borderId="20" xfId="0" applyFont="1" applyBorder="1" applyAlignment="1" applyProtection="1">
      <alignment horizontal="center" vertical="center"/>
      <protection locked="0"/>
    </xf>
    <xf numFmtId="0" fontId="5" fillId="0" borderId="21" xfId="0" applyFont="1" applyBorder="1" applyAlignment="1" applyProtection="1">
      <alignment horizontal="center" vertical="center"/>
      <protection locked="0"/>
    </xf>
    <xf numFmtId="0" fontId="5" fillId="4" borderId="19" xfId="0" applyFont="1" applyFill="1" applyBorder="1" applyAlignment="1" applyProtection="1">
      <alignment horizontal="center" vertical="center"/>
      <protection locked="0"/>
    </xf>
    <xf numFmtId="0" fontId="5" fillId="4" borderId="20" xfId="0" applyFont="1" applyFill="1" applyBorder="1" applyAlignment="1" applyProtection="1">
      <alignment horizontal="center" vertical="center"/>
      <protection locked="0"/>
    </xf>
    <xf numFmtId="0" fontId="5" fillId="4" borderId="21" xfId="0" applyFont="1" applyFill="1" applyBorder="1" applyAlignment="1" applyProtection="1">
      <alignment horizontal="center" vertical="center"/>
      <protection locked="0"/>
    </xf>
    <xf numFmtId="0" fontId="5" fillId="4" borderId="22" xfId="0" applyFont="1" applyFill="1" applyBorder="1" applyAlignment="1" applyProtection="1">
      <alignment horizontal="center" vertical="center"/>
      <protection locked="0"/>
    </xf>
    <xf numFmtId="0" fontId="5" fillId="4" borderId="12" xfId="0" applyFont="1" applyFill="1" applyBorder="1" applyAlignment="1" applyProtection="1">
      <alignment horizontal="center" vertical="center"/>
      <protection locked="0"/>
    </xf>
    <xf numFmtId="0" fontId="5" fillId="4" borderId="23" xfId="0" applyFont="1" applyFill="1" applyBorder="1" applyAlignment="1" applyProtection="1">
      <alignment horizontal="center" vertical="center"/>
      <protection locked="0"/>
    </xf>
    <xf numFmtId="1" fontId="6" fillId="4" borderId="16" xfId="0" applyNumberFormat="1" applyFont="1" applyFill="1" applyBorder="1" applyAlignment="1" applyProtection="1">
      <alignment horizontal="center" vertical="center" wrapText="1"/>
      <protection locked="0"/>
    </xf>
    <xf numFmtId="1" fontId="6" fillId="4" borderId="28" xfId="0" applyNumberFormat="1" applyFont="1" applyFill="1" applyBorder="1" applyAlignment="1" applyProtection="1">
      <alignment horizontal="center" vertical="center" wrapText="1"/>
      <protection locked="0"/>
    </xf>
    <xf numFmtId="2" fontId="6" fillId="2" borderId="17" xfId="0" applyNumberFormat="1" applyFont="1" applyFill="1" applyBorder="1" applyAlignment="1" applyProtection="1">
      <alignment horizontal="center" vertical="center" wrapText="1"/>
      <protection locked="0"/>
    </xf>
    <xf numFmtId="2" fontId="6" fillId="2" borderId="15" xfId="0" applyNumberFormat="1" applyFont="1" applyFill="1" applyBorder="1" applyAlignment="1" applyProtection="1">
      <alignment horizontal="center" vertical="center" wrapText="1"/>
      <protection locked="0"/>
    </xf>
    <xf numFmtId="165" fontId="6" fillId="2" borderId="17" xfId="0" applyNumberFormat="1" applyFont="1" applyFill="1" applyBorder="1" applyAlignment="1" applyProtection="1">
      <alignment horizontal="center" vertical="center" wrapText="1"/>
      <protection locked="0"/>
    </xf>
    <xf numFmtId="165" fontId="6" fillId="2" borderId="15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22" xfId="0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5" fillId="0" borderId="23" xfId="0" applyFont="1" applyBorder="1" applyAlignment="1" applyProtection="1">
      <alignment horizontal="center" vertical="center"/>
      <protection locked="0"/>
    </xf>
    <xf numFmtId="166" fontId="9" fillId="9" borderId="17" xfId="0" applyNumberFormat="1" applyFont="1" applyFill="1" applyBorder="1" applyAlignment="1" applyProtection="1">
      <alignment horizontal="center" vertical="center" textRotation="180" wrapText="1"/>
      <protection locked="0"/>
    </xf>
    <xf numFmtId="166" fontId="9" fillId="9" borderId="15" xfId="0" applyNumberFormat="1" applyFont="1" applyFill="1" applyBorder="1" applyAlignment="1" applyProtection="1">
      <alignment horizontal="center" vertical="center" textRotation="180" wrapText="1"/>
      <protection locked="0"/>
    </xf>
    <xf numFmtId="166" fontId="9" fillId="0" borderId="17" xfId="0" applyNumberFormat="1" applyFont="1" applyBorder="1" applyAlignment="1" applyProtection="1">
      <alignment horizontal="center" vertical="center" textRotation="180" wrapText="1"/>
      <protection locked="0"/>
    </xf>
    <xf numFmtId="166" fontId="9" fillId="0" borderId="15" xfId="0" applyNumberFormat="1" applyFont="1" applyBorder="1" applyAlignment="1" applyProtection="1">
      <alignment horizontal="center" vertical="center" textRotation="180" wrapText="1"/>
      <protection locked="0"/>
    </xf>
    <xf numFmtId="166" fontId="10" fillId="8" borderId="17" xfId="0" applyNumberFormat="1" applyFont="1" applyFill="1" applyBorder="1" applyAlignment="1" applyProtection="1">
      <alignment horizontal="center" vertical="center" textRotation="180" wrapText="1"/>
      <protection locked="0"/>
    </xf>
    <xf numFmtId="166" fontId="10" fillId="8" borderId="15" xfId="0" applyNumberFormat="1" applyFont="1" applyFill="1" applyBorder="1" applyAlignment="1" applyProtection="1">
      <alignment horizontal="center" vertical="center" textRotation="180" wrapText="1"/>
      <protection locked="0"/>
    </xf>
    <xf numFmtId="49" fontId="9" fillId="0" borderId="17" xfId="0" applyNumberFormat="1" applyFont="1" applyBorder="1" applyAlignment="1" applyProtection="1">
      <alignment horizontal="center" vertical="center" textRotation="180" wrapText="1"/>
      <protection locked="0"/>
    </xf>
    <xf numFmtId="49" fontId="9" fillId="0" borderId="15" xfId="0" applyNumberFormat="1" applyFont="1" applyBorder="1" applyAlignment="1" applyProtection="1">
      <alignment horizontal="center" vertical="center" textRotation="180" wrapText="1"/>
      <protection locked="0"/>
    </xf>
    <xf numFmtId="0" fontId="10" fillId="6" borderId="17" xfId="0" applyFont="1" applyFill="1" applyBorder="1" applyAlignment="1" applyProtection="1">
      <alignment horizontal="center" vertical="center" textRotation="180" wrapText="1"/>
      <protection locked="0"/>
    </xf>
    <xf numFmtId="0" fontId="10" fillId="6" borderId="15" xfId="0" applyFont="1" applyFill="1" applyBorder="1" applyAlignment="1" applyProtection="1">
      <alignment horizontal="center" vertical="center" textRotation="180" wrapText="1"/>
      <protection locked="0"/>
    </xf>
    <xf numFmtId="0" fontId="13" fillId="13" borderId="25" xfId="0" applyFont="1" applyFill="1" applyBorder="1" applyAlignment="1" applyProtection="1">
      <alignment horizontal="center" vertical="center"/>
      <protection locked="0"/>
    </xf>
    <xf numFmtId="0" fontId="13" fillId="13" borderId="26" xfId="0" applyFont="1" applyFill="1" applyBorder="1" applyAlignment="1" applyProtection="1">
      <alignment horizontal="center" vertical="center"/>
      <protection locked="0"/>
    </xf>
    <xf numFmtId="0" fontId="13" fillId="14" borderId="25" xfId="0" applyFont="1" applyFill="1" applyBorder="1" applyAlignment="1" applyProtection="1">
      <alignment horizontal="center" vertical="center"/>
      <protection locked="0"/>
    </xf>
    <xf numFmtId="0" fontId="13" fillId="14" borderId="26" xfId="0" applyFont="1" applyFill="1" applyBorder="1" applyAlignment="1" applyProtection="1">
      <alignment horizontal="center" vertical="center"/>
      <protection locked="0"/>
    </xf>
    <xf numFmtId="0" fontId="13" fillId="14" borderId="27" xfId="0" applyFont="1" applyFill="1" applyBorder="1" applyAlignment="1" applyProtection="1">
      <alignment horizontal="center" vertical="center"/>
      <protection locked="0"/>
    </xf>
    <xf numFmtId="166" fontId="10" fillId="0" borderId="17" xfId="0" applyNumberFormat="1" applyFont="1" applyBorder="1" applyAlignment="1" applyProtection="1">
      <alignment horizontal="center" vertical="center" textRotation="180" wrapText="1"/>
      <protection locked="0"/>
    </xf>
    <xf numFmtId="166" fontId="10" fillId="0" borderId="15" xfId="0" applyNumberFormat="1" applyFont="1" applyBorder="1" applyAlignment="1" applyProtection="1">
      <alignment horizontal="center" vertical="center" textRotation="180" wrapText="1"/>
      <protection locked="0"/>
    </xf>
    <xf numFmtId="0" fontId="11" fillId="12" borderId="17" xfId="0" applyFont="1" applyFill="1" applyBorder="1" applyAlignment="1" applyProtection="1">
      <alignment horizontal="center" vertical="center" textRotation="180" wrapText="1"/>
      <protection locked="0"/>
    </xf>
    <xf numFmtId="0" fontId="11" fillId="12" borderId="15" xfId="0" applyFont="1" applyFill="1" applyBorder="1" applyAlignment="1" applyProtection="1">
      <alignment horizontal="center" vertical="center" textRotation="180" wrapText="1"/>
      <protection locked="0"/>
    </xf>
    <xf numFmtId="166" fontId="10" fillId="10" borderId="17" xfId="0" applyNumberFormat="1" applyFont="1" applyFill="1" applyBorder="1" applyAlignment="1" applyProtection="1">
      <alignment horizontal="center" vertical="center" textRotation="180" wrapText="1"/>
      <protection locked="0"/>
    </xf>
    <xf numFmtId="166" fontId="10" fillId="10" borderId="15" xfId="0" applyNumberFormat="1" applyFont="1" applyFill="1" applyBorder="1" applyAlignment="1" applyProtection="1">
      <alignment horizontal="center" vertical="center" textRotation="180" wrapText="1"/>
      <protection locked="0"/>
    </xf>
    <xf numFmtId="0" fontId="10" fillId="11" borderId="17" xfId="0" applyFont="1" applyFill="1" applyBorder="1" applyAlignment="1" applyProtection="1">
      <alignment horizontal="center" vertical="center" textRotation="180" wrapText="1"/>
      <protection locked="0"/>
    </xf>
    <xf numFmtId="0" fontId="10" fillId="11" borderId="15" xfId="0" applyFont="1" applyFill="1" applyBorder="1" applyAlignment="1" applyProtection="1">
      <alignment horizontal="center" vertical="center" textRotation="180" wrapText="1"/>
      <protection locked="0"/>
    </xf>
    <xf numFmtId="0" fontId="12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" fillId="0" borderId="4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46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wrapText="1"/>
    </xf>
    <xf numFmtId="0" fontId="12" fillId="0" borderId="36" xfId="0" applyFont="1" applyBorder="1" applyAlignment="1">
      <alignment horizontal="center" wrapText="1"/>
    </xf>
    <xf numFmtId="0" fontId="1" fillId="0" borderId="32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9" fillId="0" borderId="14" xfId="0" applyFont="1" applyBorder="1" applyAlignment="1" applyProtection="1">
      <alignment horizontal="center" vertical="center" wrapText="1"/>
      <protection locked="0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71">
    <dxf>
      <font>
        <b/>
        <i val="0"/>
      </font>
      <fill>
        <patternFill>
          <bgColor theme="4" tint="0.79998168889431442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 val="0"/>
        <color theme="1"/>
      </font>
      <fill>
        <patternFill>
          <bgColor theme="5" tint="0.79998168889431442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snchicagoorg.sharepoint.com/Users/shernandez/Alternative%20Schools%20Network/Force%20For%20Good%20-%20General/2021_2022/Sample%20Data/fy20_YS3_Database_updated.06.24.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Info"/>
      <sheetName val="Checklist"/>
      <sheetName val="Monthly Info"/>
      <sheetName val="Client Satisfaction Surveys"/>
      <sheetName val="Transition Youth"/>
      <sheetName val="ADMIN TAB - DO NOT TOUCH"/>
    </sheetNames>
    <sheetDataSet>
      <sheetData sheetId="0"/>
      <sheetData sheetId="1">
        <row r="3">
          <cell r="C3" t="str">
            <v>Antonia Pantoja Hs</v>
          </cell>
        </row>
        <row r="4">
          <cell r="C4" t="str">
            <v>Asn Preparatory Institute</v>
          </cell>
        </row>
        <row r="5">
          <cell r="C5" t="str">
            <v>Association House Hs</v>
          </cell>
        </row>
        <row r="6">
          <cell r="C6" t="str">
            <v>Chatham Academy</v>
          </cell>
        </row>
        <row r="7">
          <cell r="C7" t="str">
            <v>Community Youth Development Institute</v>
          </cell>
        </row>
        <row r="8">
          <cell r="C8" t="str">
            <v>Dr. Pedro Albizu Campos Hs</v>
          </cell>
        </row>
        <row r="9">
          <cell r="C9" t="str">
            <v>Excel Academy</v>
          </cell>
        </row>
        <row r="10">
          <cell r="C10" t="str">
            <v>Innovations Hs</v>
          </cell>
        </row>
        <row r="11">
          <cell r="C11" t="str">
            <v>Latino Youth Hs</v>
          </cell>
        </row>
        <row r="12">
          <cell r="C12" t="str">
            <v>McKinley Lakeside Leadership Academy</v>
          </cell>
        </row>
        <row r="13">
          <cell r="C13" t="str">
            <v>Olive-Harvey Middle College</v>
          </cell>
        </row>
        <row r="14">
          <cell r="C14" t="str">
            <v>Progressive Leadership Academy</v>
          </cell>
        </row>
        <row r="15">
          <cell r="C15" t="str">
            <v>Sullivan House</v>
          </cell>
        </row>
        <row r="16">
          <cell r="C16" t="str">
            <v>West Town Academy</v>
          </cell>
        </row>
        <row r="17">
          <cell r="C17" t="str">
            <v>Youth Connection Leadership Academy</v>
          </cell>
        </row>
      </sheetData>
      <sheetData sheetId="2" refreshError="1"/>
      <sheetData sheetId="3" refreshError="1"/>
      <sheetData sheetId="4" refreshError="1"/>
      <sheetData sheetId="5">
        <row r="4">
          <cell r="D4" t="str">
            <v>Successful</v>
          </cell>
        </row>
        <row r="5">
          <cell r="A5" t="str">
            <v>Antonia Pantoja Hs</v>
          </cell>
          <cell r="D5" t="str">
            <v>In Process</v>
          </cell>
        </row>
        <row r="6">
          <cell r="A6" t="str">
            <v>Asn Preparatory Institute</v>
          </cell>
          <cell r="D6" t="str">
            <v>Unsuccessful</v>
          </cell>
        </row>
        <row r="7">
          <cell r="A7" t="str">
            <v>Association House Hs</v>
          </cell>
          <cell r="D7" t="str">
            <v>Emancipated</v>
          </cell>
        </row>
        <row r="8">
          <cell r="A8" t="str">
            <v>Chatham Academy</v>
          </cell>
          <cell r="D8" t="str">
            <v>Other</v>
          </cell>
        </row>
        <row r="9">
          <cell r="A9" t="str">
            <v>Community Youth Development Institute</v>
          </cell>
          <cell r="D9" t="str">
            <v>Discharged</v>
          </cell>
        </row>
        <row r="10">
          <cell r="A10" t="str">
            <v>Dr. Pedro Albizu Campos Hs</v>
          </cell>
        </row>
        <row r="11">
          <cell r="A11" t="str">
            <v>Excel Academy</v>
          </cell>
        </row>
        <row r="12">
          <cell r="A12" t="str">
            <v>Innovations Hs</v>
          </cell>
        </row>
        <row r="13">
          <cell r="A13" t="str">
            <v>Latino Youth Hs</v>
          </cell>
        </row>
        <row r="14">
          <cell r="A14" t="str">
            <v>McKinley Lakeside Leadership Academy</v>
          </cell>
        </row>
        <row r="15">
          <cell r="A15" t="str">
            <v>Olive-Harvey Middle College</v>
          </cell>
        </row>
        <row r="16">
          <cell r="A16" t="str">
            <v>Progressive Leadership Academy</v>
          </cell>
        </row>
        <row r="17">
          <cell r="A17" t="str">
            <v>Sullivan House</v>
          </cell>
        </row>
        <row r="18">
          <cell r="A18" t="str">
            <v>West Town Academy</v>
          </cell>
        </row>
        <row r="19">
          <cell r="A19" t="str">
            <v>Youth Connection Leadership Academy</v>
          </cell>
        </row>
        <row r="20">
          <cell r="A20" t="str">
            <v>YS3 Transitioning</v>
          </cell>
        </row>
        <row r="24">
          <cell r="A24" t="str">
            <v>Pre-pending</v>
          </cell>
        </row>
        <row r="25">
          <cell r="A25" t="str">
            <v>Officially pending</v>
          </cell>
        </row>
        <row r="26">
          <cell r="A26" t="str">
            <v>Officially pending extended (Exc. From enrollment)</v>
          </cell>
        </row>
        <row r="27">
          <cell r="A27" t="str">
            <v>Enrolled</v>
          </cell>
        </row>
        <row r="28">
          <cell r="A28" t="str">
            <v>Transitioning</v>
          </cell>
        </row>
        <row r="29">
          <cell r="A29" t="str">
            <v>School Exit</v>
          </cell>
        </row>
        <row r="30">
          <cell r="A30" t="str">
            <v>Transferred in network</v>
          </cell>
        </row>
        <row r="31">
          <cell r="A31" t="str">
            <v>Discharged</v>
          </cell>
        </row>
        <row r="32">
          <cell r="A32" t="str">
            <v>Referral not accepted by school</v>
          </cell>
        </row>
        <row r="33">
          <cell r="A33" t="str">
            <v>Not approved by DCFS</v>
          </cell>
        </row>
        <row r="37">
          <cell r="A37" t="str">
            <v>Accepted</v>
          </cell>
        </row>
        <row r="38">
          <cell r="A38" t="str">
            <v>Not accepted</v>
          </cell>
        </row>
        <row r="39">
          <cell r="A39" t="str">
            <v>Not approved by DCFS</v>
          </cell>
        </row>
        <row r="43">
          <cell r="A43" t="str">
            <v>TLP</v>
          </cell>
        </row>
        <row r="44">
          <cell r="A44" t="str">
            <v>Foster home</v>
          </cell>
        </row>
        <row r="45">
          <cell r="A45" t="str">
            <v>Home of relative</v>
          </cell>
        </row>
        <row r="46">
          <cell r="A46" t="str">
            <v>Group home</v>
          </cell>
        </row>
        <row r="47">
          <cell r="A47" t="str">
            <v>Residential treatment facility</v>
          </cell>
        </row>
        <row r="48">
          <cell r="A48" t="str">
            <v>Shelter</v>
          </cell>
        </row>
        <row r="49">
          <cell r="A49" t="str">
            <v>Specialized foster care</v>
          </cell>
        </row>
        <row r="50">
          <cell r="A50" t="str">
            <v>Independent living</v>
          </cell>
        </row>
        <row r="51">
          <cell r="A51" t="str">
            <v>Unauthorized</v>
          </cell>
        </row>
        <row r="52">
          <cell r="A52" t="str">
            <v>Other</v>
          </cell>
        </row>
        <row r="56">
          <cell r="A56" t="str">
            <v>Black</v>
          </cell>
        </row>
        <row r="57">
          <cell r="A57" t="str">
            <v>Latino</v>
          </cell>
        </row>
        <row r="58">
          <cell r="A58" t="str">
            <v>White</v>
          </cell>
        </row>
        <row r="59">
          <cell r="A59" t="str">
            <v>Mixed</v>
          </cell>
        </row>
        <row r="60">
          <cell r="A60" t="str">
            <v>Other</v>
          </cell>
        </row>
        <row r="64">
          <cell r="A64" t="str">
            <v>Hiatus</v>
          </cell>
        </row>
        <row r="65">
          <cell r="A65" t="str">
            <v>Homebound</v>
          </cell>
        </row>
        <row r="66">
          <cell r="A66" t="str">
            <v>Other</v>
          </cell>
        </row>
        <row r="70">
          <cell r="A70" t="str">
            <v>Transfer in network</v>
          </cell>
        </row>
        <row r="71">
          <cell r="A71" t="str">
            <v>Transfer out of network</v>
          </cell>
        </row>
        <row r="72">
          <cell r="A72" t="str">
            <v>Truant</v>
          </cell>
        </row>
        <row r="73">
          <cell r="A73" t="str">
            <v>Low engagement</v>
          </cell>
        </row>
        <row r="74">
          <cell r="A74" t="str">
            <v>Self-drop</v>
          </cell>
        </row>
        <row r="75">
          <cell r="A75" t="str">
            <v>Employment</v>
          </cell>
        </row>
        <row r="76">
          <cell r="A76" t="str">
            <v>On run</v>
          </cell>
        </row>
        <row r="77">
          <cell r="A77" t="str">
            <v>Behavior</v>
          </cell>
        </row>
        <row r="78">
          <cell r="A78" t="str">
            <v>IEP-therapeutic day school</v>
          </cell>
        </row>
        <row r="79">
          <cell r="A79" t="str">
            <v>Placement change</v>
          </cell>
        </row>
        <row r="80">
          <cell r="A80" t="str">
            <v>Emancipated</v>
          </cell>
        </row>
        <row r="81">
          <cell r="A81" t="str">
            <v>Incarcerated</v>
          </cell>
        </row>
        <row r="82">
          <cell r="A82" t="str">
            <v>Case Closed-DCFS</v>
          </cell>
        </row>
        <row r="83">
          <cell r="A83" t="str">
            <v>Adopted - DCFS</v>
          </cell>
        </row>
        <row r="84">
          <cell r="A84" t="str">
            <v>Other</v>
          </cell>
        </row>
        <row r="88">
          <cell r="A88" t="str">
            <v>Graduated</v>
          </cell>
        </row>
        <row r="89">
          <cell r="A89" t="str">
            <v>GED</v>
          </cell>
        </row>
        <row r="90">
          <cell r="A90" t="str">
            <v>Transfer in network</v>
          </cell>
        </row>
        <row r="91">
          <cell r="A91" t="str">
            <v>Transfer out of network</v>
          </cell>
        </row>
        <row r="92">
          <cell r="A92" t="str">
            <v>Truant</v>
          </cell>
        </row>
        <row r="93">
          <cell r="A93" t="str">
            <v>Low engagement</v>
          </cell>
        </row>
        <row r="94">
          <cell r="A94" t="str">
            <v>Self-drop</v>
          </cell>
        </row>
        <row r="95">
          <cell r="A95" t="str">
            <v>Employment</v>
          </cell>
        </row>
        <row r="96">
          <cell r="A96" t="str">
            <v>On run</v>
          </cell>
        </row>
        <row r="97">
          <cell r="A97" t="str">
            <v>Behavior</v>
          </cell>
        </row>
        <row r="98">
          <cell r="A98" t="str">
            <v>IEP-therapeutic day school</v>
          </cell>
        </row>
        <row r="99">
          <cell r="A99" t="str">
            <v>Placement change</v>
          </cell>
        </row>
        <row r="100">
          <cell r="A100" t="str">
            <v>Emancipated</v>
          </cell>
        </row>
        <row r="101">
          <cell r="A101" t="str">
            <v>Incarcerated</v>
          </cell>
        </row>
        <row r="102">
          <cell r="A102" t="str">
            <v>Deceased</v>
          </cell>
        </row>
        <row r="106">
          <cell r="A106" t="str">
            <v>Freshman</v>
          </cell>
        </row>
        <row r="107">
          <cell r="A107" t="str">
            <v>Sophomore</v>
          </cell>
        </row>
        <row r="108">
          <cell r="A108" t="str">
            <v>Junior</v>
          </cell>
        </row>
        <row r="109">
          <cell r="A109" t="str">
            <v>Senior</v>
          </cell>
        </row>
        <row r="110">
          <cell r="A110" t="str">
            <v>GED</v>
          </cell>
        </row>
        <row r="111">
          <cell r="A111" t="str">
            <v>Graduated/GED</v>
          </cell>
        </row>
        <row r="112">
          <cell r="A112" t="str">
            <v>Pending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ianca.usher@illinois.gov" TargetMode="External"/><Relationship Id="rId13" Type="http://schemas.openxmlformats.org/officeDocument/2006/relationships/hyperlink" Target="mailto:duncanward@illinois.gov" TargetMode="External"/><Relationship Id="rId3" Type="http://schemas.openxmlformats.org/officeDocument/2006/relationships/hyperlink" Target="mailto:reginald.riddle-young@illinois.gov" TargetMode="External"/><Relationship Id="rId7" Type="http://schemas.openxmlformats.org/officeDocument/2006/relationships/hyperlink" Target="mailto:dahorne@nyap.org" TargetMode="External"/><Relationship Id="rId12" Type="http://schemas.openxmlformats.org/officeDocument/2006/relationships/hyperlink" Target="mailto:tables@sosillinois.org" TargetMode="External"/><Relationship Id="rId2" Type="http://schemas.openxmlformats.org/officeDocument/2006/relationships/hyperlink" Target="mailto:nicholas.j.nasutha@illinois.gov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ngel.williams@thresholds.org" TargetMode="External"/><Relationship Id="rId6" Type="http://schemas.openxmlformats.org/officeDocument/2006/relationships/hyperlink" Target="mailto:paula.garrison@thresholds.org" TargetMode="External"/><Relationship Id="rId11" Type="http://schemas.openxmlformats.org/officeDocument/2006/relationships/hyperlink" Target="mailto:michael.johnson@ucanchicago.org" TargetMode="External"/><Relationship Id="rId5" Type="http://schemas.openxmlformats.org/officeDocument/2006/relationships/hyperlink" Target="mailto:andreana.cummings@illinois.gov" TargetMode="External"/><Relationship Id="rId15" Type="http://schemas.openxmlformats.org/officeDocument/2006/relationships/hyperlink" Target="mailto:jcruz@ucpseguin.org" TargetMode="External"/><Relationship Id="rId10" Type="http://schemas.openxmlformats.org/officeDocument/2006/relationships/hyperlink" Target="mailto:christina.sierra@illinois.gov" TargetMode="External"/><Relationship Id="rId4" Type="http://schemas.openxmlformats.org/officeDocument/2006/relationships/hyperlink" Target="mailto:melitachildlink@gmail.com" TargetMode="External"/><Relationship Id="rId9" Type="http://schemas.openxmlformats.org/officeDocument/2006/relationships/hyperlink" Target="mailto:martha.vega@illinois.gov" TargetMode="External"/><Relationship Id="rId14" Type="http://schemas.openxmlformats.org/officeDocument/2006/relationships/hyperlink" Target="mailto:twademitchell@nya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D41A-D531-E642-967F-832012F6F940}">
  <sheetPr>
    <tabColor rgb="FFFF0000"/>
  </sheetPr>
  <dimension ref="A1:NF113"/>
  <sheetViews>
    <sheetView tabSelected="1" zoomScale="125" zoomScaleNormal="125" workbookViewId="0">
      <selection activeCell="C5" sqref="C5:C6"/>
    </sheetView>
  </sheetViews>
  <sheetFormatPr defaultColWidth="9.1328125" defaultRowHeight="15" customHeight="1" x14ac:dyDescent="0.45"/>
  <cols>
    <col min="1" max="1" width="9.1328125" style="37"/>
    <col min="2" max="2" width="13.53125" style="37" customWidth="1"/>
    <col min="3" max="3" width="10.86328125" style="37" bestFit="1" customWidth="1"/>
    <col min="4" max="4" width="11.3984375" style="37" bestFit="1" customWidth="1"/>
    <col min="5" max="5" width="18" style="162" customWidth="1"/>
    <col min="6" max="6" width="18" style="37" customWidth="1"/>
    <col min="7" max="7" width="27.265625" style="162" customWidth="1"/>
    <col min="8" max="8" width="28.73046875" style="37" customWidth="1"/>
    <col min="9" max="9" width="27" style="37" customWidth="1"/>
    <col min="10" max="10" width="13" style="37" customWidth="1"/>
    <col min="11" max="11" width="5.73046875" style="163" customWidth="1"/>
    <col min="12" max="14" width="18.86328125" style="37" customWidth="1"/>
    <col min="15" max="15" width="13.1328125" style="37" customWidth="1"/>
    <col min="16" max="20" width="18.86328125" style="37" customWidth="1"/>
    <col min="21" max="21" width="8.73046875" style="37" customWidth="1"/>
    <col min="22" max="22" width="18" style="37" customWidth="1"/>
    <col min="23" max="23" width="19" style="37" customWidth="1"/>
    <col min="24" max="24" width="23.73046875" style="164" customWidth="1"/>
    <col min="25" max="25" width="25.1328125" style="164" customWidth="1"/>
    <col min="26" max="26" width="24.1328125" style="164" customWidth="1"/>
    <col min="27" max="27" width="3.73046875" style="37" customWidth="1"/>
    <col min="28" max="28" width="24.86328125" style="37" customWidth="1"/>
    <col min="29" max="29" width="39.73046875" style="37" customWidth="1"/>
    <col min="30" max="30" width="32.73046875" style="37" customWidth="1"/>
    <col min="31" max="31" width="33.73046875" style="37" customWidth="1"/>
    <col min="32" max="32" width="28" style="37" customWidth="1"/>
    <col min="33" max="33" width="6.86328125" style="37" customWidth="1"/>
    <col min="34" max="34" width="13.265625" style="37" customWidth="1"/>
    <col min="35" max="35" width="6.265625" style="37" customWidth="1"/>
    <col min="36" max="36" width="18" style="37" customWidth="1"/>
    <col min="37" max="37" width="6" style="37" customWidth="1"/>
    <col min="38" max="38" width="13.265625" style="37" customWidth="1"/>
    <col min="39" max="39" width="12" style="37" customWidth="1"/>
    <col min="40" max="40" width="15.265625" style="37" customWidth="1"/>
    <col min="41" max="41" width="20.265625" style="37" customWidth="1"/>
    <col min="42" max="42" width="18.86328125" style="37" customWidth="1"/>
    <col min="43" max="43" width="14.3984375" style="37" bestFit="1" customWidth="1"/>
    <col min="44" max="44" width="28.265625" style="165" customWidth="1"/>
    <col min="45" max="45" width="24.1328125" style="37" customWidth="1"/>
    <col min="46" max="46" width="15" style="37" customWidth="1"/>
    <col min="47" max="48" width="13.73046875" style="37" customWidth="1"/>
    <col min="49" max="49" width="10.86328125" style="37" customWidth="1"/>
    <col min="50" max="50" width="11.73046875" style="37" customWidth="1"/>
    <col min="51" max="51" width="15.265625" style="37" customWidth="1"/>
    <col min="52" max="53" width="10.265625" style="37" customWidth="1"/>
    <col min="54" max="54" width="19.1328125" style="37" customWidth="1"/>
    <col min="55" max="55" width="11.86328125" style="37" customWidth="1"/>
    <col min="56" max="56" width="6.73046875" style="37" customWidth="1"/>
    <col min="57" max="61" width="19.265625" style="37" customWidth="1"/>
    <col min="62" max="62" width="15" style="37" customWidth="1"/>
    <col min="63" max="64" width="8.265625" style="37" customWidth="1"/>
    <col min="65" max="65" width="16.1328125" style="37" customWidth="1"/>
    <col min="66" max="66" width="10.265625" style="37" customWidth="1"/>
    <col min="67" max="67" width="13.73046875" style="37" customWidth="1"/>
    <col min="68" max="71" width="11.1328125" style="37" customWidth="1"/>
    <col min="72" max="72" width="9.73046875" style="37" customWidth="1"/>
    <col min="73" max="73" width="10.265625" style="37" customWidth="1"/>
    <col min="74" max="74" width="10" style="37" customWidth="1"/>
    <col min="75" max="75" width="8.265625" style="37" customWidth="1"/>
    <col min="76" max="76" width="24.73046875" style="37" customWidth="1"/>
    <col min="77" max="77" width="9.1328125" style="37" customWidth="1"/>
    <col min="78" max="78" width="8.265625" style="37" customWidth="1"/>
    <col min="79" max="79" width="11.265625" style="37" customWidth="1"/>
    <col min="80" max="80" width="14.265625" style="37" customWidth="1"/>
    <col min="81" max="81" width="20.265625" style="37" customWidth="1"/>
    <col min="82" max="82" width="23.73046875" style="37" customWidth="1"/>
    <col min="83" max="83" width="21.73046875" style="37" customWidth="1"/>
    <col min="84" max="84" width="25.73046875" style="37" customWidth="1"/>
    <col min="85" max="85" width="16.265625" style="37" customWidth="1"/>
    <col min="86" max="86" width="15.73046875" style="37" customWidth="1"/>
    <col min="87" max="87" width="9.86328125" style="37" customWidth="1"/>
    <col min="88" max="88" width="14.265625" style="37" customWidth="1"/>
    <col min="89" max="90" width="6.73046875" style="37" customWidth="1"/>
    <col min="91" max="91" width="10.73046875" style="37" customWidth="1"/>
    <col min="92" max="92" width="14.265625" style="37" customWidth="1"/>
    <col min="93" max="93" width="16.265625" style="37" customWidth="1"/>
    <col min="94" max="94" width="15.73046875" style="37" customWidth="1"/>
    <col min="95" max="95" width="10.73046875" style="37" customWidth="1"/>
    <col min="96" max="96" width="12.86328125" style="37" customWidth="1"/>
    <col min="97" max="97" width="14.86328125" style="37" customWidth="1"/>
    <col min="98" max="98" width="7" style="37" customWidth="1"/>
    <col min="99" max="99" width="8.73046875" style="37" customWidth="1"/>
    <col min="100" max="100" width="6" style="37" customWidth="1"/>
    <col min="101" max="101" width="15.1328125" style="37" customWidth="1"/>
    <col min="102" max="102" width="8.73046875" style="37" customWidth="1"/>
    <col min="103" max="103" width="21.73046875" style="37" customWidth="1"/>
    <col min="104" max="104" width="25.73046875" style="37" customWidth="1"/>
    <col min="105" max="105" width="16.265625" style="37" customWidth="1"/>
    <col min="106" max="106" width="15.73046875" style="37" customWidth="1"/>
    <col min="107" max="107" width="10.73046875" style="37" customWidth="1"/>
    <col min="108" max="108" width="12.86328125" style="37" customWidth="1"/>
    <col min="109" max="109" width="6" style="37" customWidth="1"/>
    <col min="110" max="111" width="20.265625" style="37" customWidth="1"/>
    <col min="112" max="112" width="23.73046875" style="37" customWidth="1"/>
    <col min="113" max="113" width="21.73046875" style="37" customWidth="1"/>
    <col min="114" max="114" width="25.73046875" style="37" customWidth="1"/>
    <col min="115" max="115" width="16.265625" style="37" customWidth="1"/>
    <col min="116" max="116" width="15.73046875" style="37" customWidth="1"/>
    <col min="117" max="117" width="10.73046875" style="37" customWidth="1"/>
    <col min="118" max="118" width="12.86328125" style="37" customWidth="1"/>
    <col min="119" max="119" width="8.73046875" style="37" customWidth="1"/>
    <col min="120" max="120" width="10.73046875" style="37" customWidth="1"/>
    <col min="121" max="121" width="20.265625" style="37" customWidth="1"/>
    <col min="122" max="122" width="23.73046875" style="37" customWidth="1"/>
    <col min="123" max="123" width="21.73046875" style="37" customWidth="1"/>
    <col min="124" max="124" width="25.73046875" style="37" customWidth="1"/>
    <col min="125" max="125" width="16.265625" style="37" customWidth="1"/>
    <col min="126" max="126" width="15.73046875" style="37" customWidth="1"/>
    <col min="127" max="127" width="10.73046875" style="37" customWidth="1"/>
    <col min="128" max="128" width="12.86328125" style="37" customWidth="1"/>
    <col min="129" max="129" width="14.86328125" style="37" customWidth="1"/>
    <col min="130" max="130" width="7" style="37" customWidth="1"/>
    <col min="131" max="131" width="10.73046875" style="37" customWidth="1"/>
    <col min="132" max="132" width="20.265625" style="37" customWidth="1"/>
    <col min="133" max="133" width="23.73046875" style="37" customWidth="1"/>
    <col min="134" max="134" width="21.73046875" style="37" customWidth="1"/>
    <col min="135" max="135" width="25.73046875" style="37" customWidth="1"/>
    <col min="136" max="136" width="16.265625" style="37" customWidth="1"/>
    <col min="137" max="137" width="15.73046875" style="37" customWidth="1"/>
    <col min="138" max="138" width="10.73046875" style="37" customWidth="1"/>
    <col min="139" max="139" width="12.86328125" style="37" customWidth="1"/>
    <col min="140" max="140" width="14.86328125" style="37" customWidth="1"/>
    <col min="141" max="141" width="7" style="37" customWidth="1"/>
    <col min="142" max="142" width="10.73046875" style="37" customWidth="1"/>
    <col min="143" max="143" width="20.265625" style="37" customWidth="1"/>
    <col min="144" max="144" width="23.73046875" style="37" customWidth="1"/>
    <col min="145" max="145" width="21.73046875" style="37" customWidth="1"/>
    <col min="146" max="146" width="25.73046875" style="37" customWidth="1"/>
    <col min="147" max="147" width="16.265625" style="37" customWidth="1"/>
    <col min="148" max="148" width="15.73046875" style="37" customWidth="1"/>
    <col min="149" max="149" width="10.73046875" style="37" customWidth="1"/>
    <col min="150" max="150" width="12.86328125" style="37" customWidth="1"/>
    <col min="151" max="151" width="11.265625" style="37" customWidth="1"/>
    <col min="152" max="152" width="7" style="37" customWidth="1"/>
    <col min="153" max="153" width="10.265625" style="37" customWidth="1"/>
    <col min="154" max="154" width="12.265625" style="37" customWidth="1"/>
    <col min="155" max="155" width="14.1328125" style="37" customWidth="1"/>
    <col min="156" max="156" width="8.73046875" style="37" customWidth="1"/>
    <col min="157" max="157" width="17.73046875" style="37" customWidth="1"/>
    <col min="158" max="158" width="12.73046875" style="37" customWidth="1"/>
    <col min="159" max="159" width="22.265625" style="37" customWidth="1"/>
    <col min="160" max="160" width="12.73046875" style="37" customWidth="1"/>
    <col min="161" max="161" width="10.1328125" style="37" customWidth="1"/>
    <col min="162" max="162" width="10" style="37" customWidth="1"/>
    <col min="163" max="163" width="16" style="37" customWidth="1"/>
    <col min="164" max="164" width="9" style="37" customWidth="1"/>
    <col min="165" max="165" width="8.73046875" style="37" customWidth="1"/>
    <col min="166" max="166" width="8.86328125" style="37" customWidth="1"/>
    <col min="167" max="167" width="10" style="37" customWidth="1"/>
    <col min="168" max="168" width="7.86328125" style="37" customWidth="1"/>
    <col min="169" max="170" width="8.1328125" style="37" customWidth="1"/>
    <col min="171" max="171" width="5.1328125" style="37" customWidth="1"/>
    <col min="172" max="172" width="7.1328125" style="37" customWidth="1"/>
    <col min="173" max="173" width="7" style="37" customWidth="1"/>
    <col min="174" max="174" width="6" style="37" customWidth="1"/>
    <col min="175" max="175" width="8" style="37" customWidth="1"/>
    <col min="176" max="176" width="12.265625" style="37" customWidth="1"/>
    <col min="177" max="177" width="14.1328125" style="37" customWidth="1"/>
    <col min="178" max="178" width="6.73046875" style="37" customWidth="1"/>
    <col min="179" max="179" width="5.73046875" style="37" customWidth="1"/>
    <col min="180" max="180" width="6.265625" style="37" customWidth="1"/>
    <col min="181" max="181" width="5.86328125" style="37" customWidth="1"/>
    <col min="182" max="182" width="8.73046875" style="37" customWidth="1"/>
    <col min="183" max="183" width="24.73046875" style="37" customWidth="1"/>
    <col min="184" max="184" width="15.73046875" style="37" customWidth="1"/>
    <col min="185" max="185" width="15.1328125" style="37" customWidth="1"/>
    <col min="186" max="186" width="10.265625" style="37" customWidth="1"/>
    <col min="187" max="187" width="12.265625" style="37" customWidth="1"/>
    <col min="188" max="188" width="7" style="37" customWidth="1"/>
    <col min="189" max="189" width="6.73046875" style="37" customWidth="1"/>
    <col min="190" max="190" width="10.73046875" style="37" customWidth="1"/>
    <col min="191" max="191" width="25.86328125" style="37" customWidth="1"/>
    <col min="192" max="192" width="22.73046875" style="37" customWidth="1"/>
    <col min="193" max="193" width="27.265625" style="37" customWidth="1"/>
    <col min="194" max="194" width="9.1328125" style="37" customWidth="1"/>
    <col min="195" max="195" width="36.73046875" style="37" customWidth="1"/>
    <col min="196" max="196" width="6" style="37" customWidth="1"/>
    <col min="197" max="197" width="31.73046875" style="37" customWidth="1"/>
    <col min="198" max="199" width="6" style="37" customWidth="1"/>
    <col min="200" max="200" width="11.265625" style="37" customWidth="1"/>
    <col min="201" max="201" width="6.265625" style="37" customWidth="1"/>
    <col min="202" max="202" width="12.1328125" style="37" customWidth="1"/>
    <col min="203" max="203" width="10.265625" style="37" customWidth="1"/>
    <col min="204" max="205" width="14.265625" style="37" customWidth="1"/>
    <col min="206" max="206" width="12.265625" style="37" customWidth="1"/>
    <col min="207" max="228" width="14.265625" style="37" customWidth="1"/>
    <col min="229" max="229" width="19.265625" style="37" customWidth="1"/>
    <col min="230" max="239" width="14.265625" style="37" customWidth="1"/>
    <col min="240" max="240" width="6.265625" style="37" customWidth="1"/>
    <col min="241" max="241" width="7.73046875" style="37" customWidth="1"/>
    <col min="242" max="242" width="6.265625" style="37" customWidth="1"/>
    <col min="243" max="243" width="7.265625" style="37" customWidth="1"/>
    <col min="244" max="244" width="7.86328125" style="37" customWidth="1"/>
    <col min="245" max="245" width="6.265625" style="37" customWidth="1"/>
    <col min="246" max="247" width="7" style="37" customWidth="1"/>
    <col min="248" max="248" width="5.86328125" style="37" customWidth="1"/>
    <col min="249" max="249" width="6.86328125" style="37" customWidth="1"/>
    <col min="250" max="250" width="7.73046875" style="37" customWidth="1"/>
    <col min="251" max="251" width="10.265625" style="37" customWidth="1"/>
    <col min="252" max="273" width="14.265625" style="37" customWidth="1"/>
    <col min="274" max="277" width="14.265625" style="37" hidden="1" customWidth="1"/>
    <col min="278" max="371" width="14.265625" style="37" customWidth="1"/>
    <col min="372" max="16384" width="9.1328125" style="37"/>
  </cols>
  <sheetData>
    <row r="1" spans="1:370" s="1" customFormat="1" ht="15" customHeight="1" x14ac:dyDescent="0.45">
      <c r="E1" s="207"/>
      <c r="F1" s="207"/>
      <c r="G1" s="207"/>
      <c r="H1" s="207"/>
      <c r="I1" s="207"/>
      <c r="J1" s="208"/>
      <c r="K1" s="206" t="s">
        <v>0</v>
      </c>
      <c r="L1" s="207"/>
      <c r="M1" s="207"/>
      <c r="N1" s="207"/>
      <c r="O1" s="207"/>
      <c r="P1" s="207"/>
      <c r="Q1" s="207"/>
      <c r="R1" s="207"/>
      <c r="S1" s="207"/>
      <c r="T1" s="208"/>
      <c r="U1" s="206" t="s">
        <v>1</v>
      </c>
      <c r="V1" s="207"/>
      <c r="W1" s="207"/>
      <c r="X1" s="207"/>
      <c r="Y1" s="207"/>
      <c r="Z1" s="208"/>
      <c r="AA1" s="206" t="s">
        <v>2</v>
      </c>
      <c r="AB1" s="207"/>
      <c r="AC1" s="207"/>
      <c r="AD1" s="207"/>
      <c r="AE1" s="207"/>
      <c r="AF1" s="207"/>
      <c r="AG1" s="207"/>
      <c r="AH1" s="207"/>
      <c r="AI1" s="207"/>
      <c r="AJ1" s="208"/>
      <c r="AK1" s="206" t="s">
        <v>3</v>
      </c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8"/>
      <c r="BD1" s="229" t="s">
        <v>4</v>
      </c>
      <c r="BE1" s="230"/>
      <c r="BF1" s="230"/>
      <c r="BG1" s="230"/>
      <c r="BH1" s="230"/>
      <c r="BI1" s="230"/>
      <c r="BJ1" s="230"/>
      <c r="BK1" s="230"/>
      <c r="BL1" s="231"/>
      <c r="BM1" s="2"/>
      <c r="BN1" s="206" t="s">
        <v>5</v>
      </c>
      <c r="BO1" s="207"/>
      <c r="BP1" s="207"/>
      <c r="BQ1" s="207"/>
      <c r="BR1" s="207"/>
      <c r="BS1" s="207"/>
      <c r="BT1" s="207"/>
      <c r="BU1" s="207"/>
      <c r="BV1" s="207"/>
      <c r="BW1" s="207"/>
      <c r="BX1" s="207"/>
      <c r="BY1" s="207"/>
      <c r="BZ1" s="207"/>
      <c r="CA1" s="207"/>
      <c r="CB1" s="207"/>
      <c r="CC1" s="207"/>
      <c r="CD1" s="207"/>
      <c r="CE1" s="207"/>
      <c r="CF1" s="207"/>
      <c r="CG1" s="207"/>
      <c r="CH1" s="207"/>
      <c r="CI1" s="207"/>
      <c r="CJ1" s="207"/>
      <c r="CK1" s="207"/>
      <c r="CL1" s="207"/>
      <c r="CM1" s="207"/>
      <c r="CN1" s="207"/>
      <c r="CO1" s="208"/>
      <c r="CP1" s="206" t="s">
        <v>6</v>
      </c>
      <c r="CQ1" s="207"/>
      <c r="CR1" s="207"/>
      <c r="CS1" s="207"/>
      <c r="CT1" s="207"/>
      <c r="CU1" s="207"/>
      <c r="CV1" s="207"/>
      <c r="CW1" s="207"/>
      <c r="CX1" s="207"/>
      <c r="CY1" s="207"/>
      <c r="CZ1" s="207"/>
      <c r="DA1" s="207"/>
      <c r="DB1" s="207"/>
      <c r="DC1" s="207"/>
      <c r="DD1" s="207"/>
      <c r="DE1" s="207"/>
      <c r="DF1" s="207"/>
      <c r="DG1" s="207"/>
      <c r="DH1" s="207"/>
      <c r="DI1" s="207"/>
      <c r="DJ1" s="207"/>
      <c r="DK1" s="207"/>
      <c r="DL1" s="207"/>
      <c r="DM1" s="207"/>
      <c r="DN1" s="207"/>
      <c r="DO1" s="207"/>
      <c r="DP1" s="207"/>
      <c r="DQ1" s="207"/>
      <c r="DR1" s="207"/>
      <c r="DS1" s="208"/>
      <c r="DT1" s="3" t="s">
        <v>7</v>
      </c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5"/>
      <c r="EX1" s="206" t="s">
        <v>8</v>
      </c>
      <c r="EY1" s="207"/>
      <c r="EZ1" s="207"/>
      <c r="FA1" s="207"/>
      <c r="FB1" s="207"/>
      <c r="FC1" s="207"/>
      <c r="FD1" s="207"/>
      <c r="FE1" s="207"/>
      <c r="FF1" s="207"/>
      <c r="FG1" s="207"/>
      <c r="FH1" s="207"/>
      <c r="FI1" s="207"/>
      <c r="FJ1" s="207"/>
      <c r="FK1" s="207"/>
      <c r="FL1" s="207"/>
      <c r="FM1" s="207"/>
      <c r="FN1" s="207"/>
      <c r="FO1" s="207"/>
      <c r="FP1" s="207"/>
      <c r="FQ1" s="207"/>
      <c r="FR1" s="207"/>
      <c r="FS1" s="207"/>
      <c r="FT1" s="207"/>
      <c r="FU1" s="207"/>
      <c r="FV1" s="207"/>
      <c r="FW1" s="207"/>
      <c r="FX1" s="207"/>
      <c r="FY1" s="207"/>
      <c r="FZ1" s="207"/>
      <c r="GA1" s="207"/>
      <c r="GB1" s="207"/>
      <c r="GC1" s="207"/>
      <c r="GD1" s="208"/>
      <c r="GE1" s="206" t="s">
        <v>9</v>
      </c>
      <c r="GF1" s="207"/>
      <c r="GG1" s="207"/>
      <c r="GH1" s="207"/>
      <c r="GI1" s="207"/>
      <c r="GJ1" s="207"/>
      <c r="GK1" s="207"/>
      <c r="GL1" s="207"/>
      <c r="GM1" s="207"/>
      <c r="GN1" s="207"/>
      <c r="GO1" s="207"/>
      <c r="GP1" s="206" t="s">
        <v>10</v>
      </c>
      <c r="GQ1" s="207"/>
      <c r="GR1" s="207"/>
      <c r="GS1" s="207"/>
      <c r="GT1" s="207"/>
      <c r="GU1" s="207"/>
      <c r="GV1" s="207"/>
      <c r="GW1" s="207"/>
      <c r="GX1" s="207"/>
      <c r="GY1" s="207"/>
      <c r="GZ1" s="207"/>
      <c r="HA1" s="207"/>
      <c r="HB1" s="207"/>
      <c r="HC1" s="207"/>
      <c r="HD1" s="207"/>
      <c r="HE1" s="207"/>
      <c r="HF1" s="207"/>
      <c r="HG1" s="207"/>
      <c r="HH1" s="207"/>
      <c r="HI1" s="207"/>
      <c r="HJ1" s="207"/>
      <c r="HK1" s="207"/>
      <c r="HL1" s="207"/>
      <c r="HM1" s="207"/>
      <c r="HN1" s="207"/>
      <c r="HO1" s="207"/>
      <c r="HP1" s="207"/>
      <c r="HQ1" s="207"/>
      <c r="HR1" s="207"/>
      <c r="HS1" s="207"/>
      <c r="HT1" s="207"/>
      <c r="HU1" s="207"/>
      <c r="HV1" s="207"/>
      <c r="HW1" s="207"/>
      <c r="HX1" s="207"/>
      <c r="HY1" s="207"/>
      <c r="HZ1" s="207"/>
      <c r="IA1" s="207"/>
      <c r="IB1" s="207"/>
      <c r="IC1" s="207"/>
      <c r="ID1" s="207"/>
      <c r="IE1" s="207"/>
      <c r="IF1" s="207"/>
      <c r="IG1" s="207"/>
      <c r="IH1" s="207"/>
      <c r="II1" s="207"/>
      <c r="IJ1" s="207"/>
      <c r="IK1" s="207"/>
      <c r="IL1" s="208"/>
      <c r="IM1" s="215" t="s">
        <v>11</v>
      </c>
      <c r="IN1" s="215"/>
      <c r="IO1" s="215"/>
      <c r="IP1" s="215"/>
      <c r="IQ1" s="215"/>
      <c r="IR1" s="215"/>
      <c r="IS1" s="215"/>
      <c r="IT1" s="215"/>
      <c r="IU1" s="215"/>
      <c r="IV1" s="215"/>
      <c r="IW1" s="215"/>
      <c r="IX1" s="215"/>
      <c r="IY1" s="215"/>
      <c r="IZ1" s="215"/>
      <c r="JA1" s="215"/>
      <c r="JB1" s="215"/>
      <c r="JC1" s="215"/>
      <c r="JD1" s="215"/>
      <c r="JE1" s="215"/>
      <c r="JF1" s="215"/>
      <c r="JG1" s="215"/>
      <c r="JH1" s="215"/>
      <c r="JI1" s="215"/>
      <c r="JJ1" s="215"/>
      <c r="JK1" s="215"/>
      <c r="JL1" s="215"/>
      <c r="JM1" s="215"/>
      <c r="JN1" s="215"/>
      <c r="JO1" s="215"/>
      <c r="JP1" s="215"/>
      <c r="JQ1" s="215"/>
      <c r="LM1" s="204" t="s">
        <v>12</v>
      </c>
      <c r="LN1" s="190" t="s">
        <v>13</v>
      </c>
      <c r="LO1" s="191"/>
      <c r="LP1" s="192"/>
      <c r="LQ1" s="190" t="s">
        <v>14</v>
      </c>
      <c r="LR1" s="191"/>
      <c r="LS1" s="192"/>
      <c r="LT1" s="190" t="s">
        <v>15</v>
      </c>
      <c r="LU1" s="191"/>
      <c r="LV1" s="192"/>
      <c r="LW1" s="190" t="s">
        <v>16</v>
      </c>
      <c r="LX1" s="191"/>
      <c r="LY1" s="192"/>
      <c r="LZ1" s="190" t="s">
        <v>17</v>
      </c>
      <c r="MA1" s="191"/>
      <c r="MB1" s="192"/>
      <c r="MC1" s="190" t="s">
        <v>18</v>
      </c>
      <c r="MD1" s="191"/>
      <c r="ME1" s="192"/>
      <c r="MF1" s="190" t="s">
        <v>19</v>
      </c>
      <c r="MG1" s="191"/>
      <c r="MH1" s="192"/>
      <c r="MI1" s="190" t="s">
        <v>20</v>
      </c>
      <c r="MJ1" s="191"/>
      <c r="MK1" s="192"/>
      <c r="ML1" s="190" t="s">
        <v>21</v>
      </c>
      <c r="MM1" s="191"/>
      <c r="MN1" s="192"/>
      <c r="MO1" s="190" t="s">
        <v>22</v>
      </c>
      <c r="MP1" s="191"/>
      <c r="MQ1" s="192"/>
      <c r="MR1" s="190" t="s">
        <v>23</v>
      </c>
      <c r="MS1" s="191"/>
      <c r="MT1" s="192"/>
      <c r="MU1" s="190" t="s">
        <v>24</v>
      </c>
      <c r="MV1" s="191"/>
      <c r="MW1" s="192"/>
      <c r="MX1" s="190" t="s">
        <v>25</v>
      </c>
      <c r="MY1" s="191"/>
      <c r="MZ1" s="192"/>
      <c r="NA1" s="190" t="s">
        <v>26</v>
      </c>
      <c r="NB1" s="191"/>
      <c r="NC1" s="192"/>
      <c r="ND1" s="190" t="s">
        <v>27</v>
      </c>
      <c r="NE1" s="191"/>
      <c r="NF1" s="192"/>
    </row>
    <row r="2" spans="1:370" s="1" customFormat="1" ht="8.25" customHeight="1" x14ac:dyDescent="0.45">
      <c r="E2" s="210"/>
      <c r="F2" s="210"/>
      <c r="G2" s="210"/>
      <c r="H2" s="210"/>
      <c r="I2" s="210"/>
      <c r="J2" s="211"/>
      <c r="K2" s="209"/>
      <c r="L2" s="210"/>
      <c r="M2" s="210"/>
      <c r="N2" s="210"/>
      <c r="O2" s="210"/>
      <c r="P2" s="210"/>
      <c r="Q2" s="210"/>
      <c r="R2" s="210"/>
      <c r="S2" s="210"/>
      <c r="T2" s="211"/>
      <c r="U2" s="209"/>
      <c r="V2" s="210"/>
      <c r="W2" s="210"/>
      <c r="X2" s="210"/>
      <c r="Y2" s="210"/>
      <c r="Z2" s="211"/>
      <c r="AA2" s="209"/>
      <c r="AB2" s="210"/>
      <c r="AC2" s="210"/>
      <c r="AD2" s="210"/>
      <c r="AE2" s="210"/>
      <c r="AF2" s="210"/>
      <c r="AG2" s="210"/>
      <c r="AH2" s="210"/>
      <c r="AI2" s="210"/>
      <c r="AJ2" s="211"/>
      <c r="AK2" s="209"/>
      <c r="AL2" s="210"/>
      <c r="AM2" s="210"/>
      <c r="AN2" s="210"/>
      <c r="AO2" s="210"/>
      <c r="AP2" s="210"/>
      <c r="AQ2" s="210"/>
      <c r="AR2" s="210"/>
      <c r="AS2" s="210"/>
      <c r="AT2" s="210"/>
      <c r="AU2" s="210"/>
      <c r="AV2" s="210"/>
      <c r="AW2" s="210"/>
      <c r="AX2" s="210"/>
      <c r="AY2" s="210"/>
      <c r="AZ2" s="210"/>
      <c r="BA2" s="210"/>
      <c r="BB2" s="210"/>
      <c r="BC2" s="211"/>
      <c r="BD2" s="232"/>
      <c r="BE2" s="233"/>
      <c r="BF2" s="233"/>
      <c r="BG2" s="233"/>
      <c r="BH2" s="233"/>
      <c r="BI2" s="233"/>
      <c r="BJ2" s="233"/>
      <c r="BK2" s="233"/>
      <c r="BL2" s="234"/>
      <c r="BM2" s="6"/>
      <c r="BN2" s="209"/>
      <c r="BO2" s="210"/>
      <c r="BP2" s="210"/>
      <c r="BQ2" s="210"/>
      <c r="BR2" s="210"/>
      <c r="BS2" s="210"/>
      <c r="BT2" s="210"/>
      <c r="BU2" s="210"/>
      <c r="BV2" s="210"/>
      <c r="BW2" s="210"/>
      <c r="BX2" s="210"/>
      <c r="BY2" s="210"/>
      <c r="BZ2" s="210"/>
      <c r="CA2" s="210"/>
      <c r="CB2" s="210"/>
      <c r="CC2" s="210"/>
      <c r="CD2" s="210"/>
      <c r="CE2" s="210"/>
      <c r="CF2" s="210"/>
      <c r="CG2" s="210"/>
      <c r="CH2" s="210"/>
      <c r="CI2" s="210"/>
      <c r="CJ2" s="210"/>
      <c r="CK2" s="210"/>
      <c r="CL2" s="210"/>
      <c r="CM2" s="210"/>
      <c r="CN2" s="210"/>
      <c r="CO2" s="211"/>
      <c r="CP2" s="209"/>
      <c r="CQ2" s="210"/>
      <c r="CR2" s="210"/>
      <c r="CS2" s="210"/>
      <c r="CT2" s="210"/>
      <c r="CU2" s="210"/>
      <c r="CV2" s="210"/>
      <c r="CW2" s="210"/>
      <c r="CX2" s="210"/>
      <c r="CY2" s="210"/>
      <c r="CZ2" s="210"/>
      <c r="DA2" s="210"/>
      <c r="DB2" s="210"/>
      <c r="DC2" s="210"/>
      <c r="DD2" s="210"/>
      <c r="DE2" s="210"/>
      <c r="DF2" s="210"/>
      <c r="DG2" s="210"/>
      <c r="DH2" s="210"/>
      <c r="DI2" s="210"/>
      <c r="DJ2" s="210"/>
      <c r="DK2" s="210"/>
      <c r="DL2" s="210"/>
      <c r="DM2" s="210"/>
      <c r="DN2" s="210"/>
      <c r="DO2" s="210"/>
      <c r="DP2" s="210"/>
      <c r="DQ2" s="210"/>
      <c r="DR2" s="210"/>
      <c r="DS2" s="211"/>
      <c r="DT2" s="7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9"/>
      <c r="EX2" s="209"/>
      <c r="EY2" s="210"/>
      <c r="EZ2" s="210"/>
      <c r="FA2" s="210"/>
      <c r="FB2" s="210"/>
      <c r="FC2" s="210"/>
      <c r="FD2" s="210"/>
      <c r="FE2" s="210"/>
      <c r="FF2" s="210"/>
      <c r="FG2" s="210"/>
      <c r="FH2" s="210"/>
      <c r="FI2" s="210"/>
      <c r="FJ2" s="210"/>
      <c r="FK2" s="210"/>
      <c r="FL2" s="210"/>
      <c r="FM2" s="210"/>
      <c r="FN2" s="210"/>
      <c r="FO2" s="210"/>
      <c r="FP2" s="210"/>
      <c r="FQ2" s="210"/>
      <c r="FR2" s="210"/>
      <c r="FS2" s="210"/>
      <c r="FT2" s="210"/>
      <c r="FU2" s="210"/>
      <c r="FV2" s="210"/>
      <c r="FW2" s="210"/>
      <c r="FX2" s="210"/>
      <c r="FY2" s="210"/>
      <c r="FZ2" s="210"/>
      <c r="GA2" s="210"/>
      <c r="GB2" s="210"/>
      <c r="GC2" s="210"/>
      <c r="GD2" s="211"/>
      <c r="GE2" s="209"/>
      <c r="GF2" s="210"/>
      <c r="GG2" s="210"/>
      <c r="GH2" s="210"/>
      <c r="GI2" s="210"/>
      <c r="GJ2" s="210"/>
      <c r="GK2" s="210"/>
      <c r="GL2" s="210"/>
      <c r="GM2" s="210"/>
      <c r="GN2" s="210"/>
      <c r="GO2" s="210"/>
      <c r="GP2" s="209"/>
      <c r="GQ2" s="210"/>
      <c r="GR2" s="210"/>
      <c r="GS2" s="210"/>
      <c r="GT2" s="210"/>
      <c r="GU2" s="210"/>
      <c r="GV2" s="210"/>
      <c r="GW2" s="210"/>
      <c r="GX2" s="210"/>
      <c r="GY2" s="210"/>
      <c r="GZ2" s="210"/>
      <c r="HA2" s="210"/>
      <c r="HB2" s="210"/>
      <c r="HC2" s="210"/>
      <c r="HD2" s="210"/>
      <c r="HE2" s="210"/>
      <c r="HF2" s="210"/>
      <c r="HG2" s="210"/>
      <c r="HH2" s="210"/>
      <c r="HI2" s="210"/>
      <c r="HJ2" s="210"/>
      <c r="HK2" s="210"/>
      <c r="HL2" s="210"/>
      <c r="HM2" s="210"/>
      <c r="HN2" s="210"/>
      <c r="HO2" s="210"/>
      <c r="HP2" s="210"/>
      <c r="HQ2" s="210"/>
      <c r="HR2" s="210"/>
      <c r="HS2" s="210"/>
      <c r="HT2" s="210"/>
      <c r="HU2" s="210"/>
      <c r="HV2" s="210"/>
      <c r="HW2" s="210"/>
      <c r="HX2" s="210"/>
      <c r="HY2" s="210"/>
      <c r="HZ2" s="210"/>
      <c r="IA2" s="210"/>
      <c r="IB2" s="210"/>
      <c r="IC2" s="210"/>
      <c r="ID2" s="210"/>
      <c r="IE2" s="210"/>
      <c r="IF2" s="210"/>
      <c r="IG2" s="210"/>
      <c r="IH2" s="210"/>
      <c r="II2" s="210"/>
      <c r="IJ2" s="210"/>
      <c r="IK2" s="210"/>
      <c r="IL2" s="211"/>
      <c r="IM2" s="216"/>
      <c r="IN2" s="216"/>
      <c r="IO2" s="216"/>
      <c r="IP2" s="216"/>
      <c r="IQ2" s="216"/>
      <c r="IR2" s="216"/>
      <c r="IS2" s="216"/>
      <c r="IT2" s="216"/>
      <c r="IU2" s="216"/>
      <c r="IV2" s="216"/>
      <c r="IW2" s="216"/>
      <c r="IX2" s="216"/>
      <c r="IY2" s="216"/>
      <c r="IZ2" s="216"/>
      <c r="JA2" s="216"/>
      <c r="JB2" s="216"/>
      <c r="JC2" s="216"/>
      <c r="JD2" s="216"/>
      <c r="JE2" s="216"/>
      <c r="JF2" s="216"/>
      <c r="JG2" s="216"/>
      <c r="JH2" s="216"/>
      <c r="JI2" s="216"/>
      <c r="JJ2" s="216"/>
      <c r="JK2" s="216"/>
      <c r="JL2" s="216"/>
      <c r="JM2" s="216"/>
      <c r="JN2" s="216"/>
      <c r="JO2" s="216"/>
      <c r="JP2" s="216"/>
      <c r="JQ2" s="216"/>
      <c r="LM2" s="205"/>
      <c r="LN2" s="193"/>
      <c r="LO2" s="194"/>
      <c r="LP2" s="195"/>
      <c r="LQ2" s="193"/>
      <c r="LR2" s="194"/>
      <c r="LS2" s="195"/>
      <c r="LT2" s="193"/>
      <c r="LU2" s="194"/>
      <c r="LV2" s="195"/>
      <c r="LW2" s="193"/>
      <c r="LX2" s="194"/>
      <c r="LY2" s="195"/>
      <c r="LZ2" s="193"/>
      <c r="MA2" s="194"/>
      <c r="MB2" s="195"/>
      <c r="MC2" s="193"/>
      <c r="MD2" s="194"/>
      <c r="ME2" s="195"/>
      <c r="MF2" s="193"/>
      <c r="MG2" s="194"/>
      <c r="MH2" s="195"/>
      <c r="MI2" s="193"/>
      <c r="MJ2" s="194"/>
      <c r="MK2" s="195"/>
      <c r="ML2" s="193"/>
      <c r="MM2" s="194"/>
      <c r="MN2" s="195"/>
      <c r="MO2" s="193"/>
      <c r="MP2" s="194"/>
      <c r="MQ2" s="195"/>
      <c r="MR2" s="193"/>
      <c r="MS2" s="194"/>
      <c r="MT2" s="195"/>
      <c r="MU2" s="193"/>
      <c r="MV2" s="194"/>
      <c r="MW2" s="195"/>
      <c r="MX2" s="193"/>
      <c r="MY2" s="194"/>
      <c r="MZ2" s="195"/>
      <c r="NA2" s="193"/>
      <c r="NB2" s="194"/>
      <c r="NC2" s="195"/>
      <c r="ND2" s="193"/>
      <c r="NE2" s="194"/>
      <c r="NF2" s="195"/>
    </row>
    <row r="3" spans="1:370" s="1" customFormat="1" ht="2.25" customHeight="1" thickBot="1" x14ac:dyDescent="0.5">
      <c r="E3" s="210"/>
      <c r="F3" s="210"/>
      <c r="G3" s="210"/>
      <c r="H3" s="210"/>
      <c r="I3" s="210"/>
      <c r="J3" s="211"/>
      <c r="K3" s="209"/>
      <c r="L3" s="210"/>
      <c r="M3" s="210"/>
      <c r="N3" s="210"/>
      <c r="O3" s="210"/>
      <c r="P3" s="210"/>
      <c r="Q3" s="210"/>
      <c r="R3" s="210"/>
      <c r="S3" s="210"/>
      <c r="T3" s="211"/>
      <c r="U3" s="209"/>
      <c r="V3" s="210"/>
      <c r="W3" s="210"/>
      <c r="X3" s="210"/>
      <c r="Y3" s="210"/>
      <c r="Z3" s="211"/>
      <c r="AA3" s="209"/>
      <c r="AB3" s="210"/>
      <c r="AC3" s="210"/>
      <c r="AD3" s="210"/>
      <c r="AE3" s="210"/>
      <c r="AF3" s="210"/>
      <c r="AG3" s="210"/>
      <c r="AH3" s="210"/>
      <c r="AI3" s="210"/>
      <c r="AJ3" s="211"/>
      <c r="AK3" s="209"/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0"/>
      <c r="AX3" s="210"/>
      <c r="AY3" s="210"/>
      <c r="AZ3" s="210"/>
      <c r="BA3" s="210"/>
      <c r="BB3" s="210"/>
      <c r="BC3" s="211"/>
      <c r="BD3" s="232"/>
      <c r="BE3" s="233"/>
      <c r="BF3" s="233"/>
      <c r="BG3" s="233"/>
      <c r="BH3" s="233"/>
      <c r="BI3" s="233"/>
      <c r="BJ3" s="233"/>
      <c r="BK3" s="233"/>
      <c r="BL3" s="234"/>
      <c r="BM3" s="6"/>
      <c r="BN3" s="209"/>
      <c r="BO3" s="210"/>
      <c r="BP3" s="210"/>
      <c r="BQ3" s="210"/>
      <c r="BR3" s="210"/>
      <c r="BS3" s="210"/>
      <c r="BT3" s="210"/>
      <c r="BU3" s="210"/>
      <c r="BV3" s="210"/>
      <c r="BW3" s="210"/>
      <c r="BX3" s="210"/>
      <c r="BY3" s="210"/>
      <c r="BZ3" s="210"/>
      <c r="CA3" s="210"/>
      <c r="CB3" s="210"/>
      <c r="CC3" s="210"/>
      <c r="CD3" s="210"/>
      <c r="CE3" s="210"/>
      <c r="CF3" s="210"/>
      <c r="CG3" s="210"/>
      <c r="CH3" s="210"/>
      <c r="CI3" s="210"/>
      <c r="CJ3" s="210"/>
      <c r="CK3" s="210"/>
      <c r="CL3" s="210"/>
      <c r="CM3" s="210"/>
      <c r="CN3" s="210"/>
      <c r="CO3" s="211"/>
      <c r="CP3" s="209"/>
      <c r="CQ3" s="210"/>
      <c r="CR3" s="210"/>
      <c r="CS3" s="210"/>
      <c r="CT3" s="210"/>
      <c r="CU3" s="210"/>
      <c r="CV3" s="210"/>
      <c r="CW3" s="210"/>
      <c r="CX3" s="210"/>
      <c r="CY3" s="210"/>
      <c r="CZ3" s="210"/>
      <c r="DA3" s="210"/>
      <c r="DB3" s="210"/>
      <c r="DC3" s="210"/>
      <c r="DD3" s="210"/>
      <c r="DE3" s="210"/>
      <c r="DF3" s="210"/>
      <c r="DG3" s="210"/>
      <c r="DH3" s="210"/>
      <c r="DI3" s="210"/>
      <c r="DJ3" s="210"/>
      <c r="DK3" s="210"/>
      <c r="DL3" s="210"/>
      <c r="DM3" s="210"/>
      <c r="DN3" s="210"/>
      <c r="DO3" s="210"/>
      <c r="DP3" s="210"/>
      <c r="DQ3" s="210"/>
      <c r="DR3" s="210"/>
      <c r="DS3" s="211"/>
      <c r="DT3" s="7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9"/>
      <c r="EX3" s="209"/>
      <c r="EY3" s="210"/>
      <c r="EZ3" s="210"/>
      <c r="FA3" s="210"/>
      <c r="FB3" s="210"/>
      <c r="FC3" s="210"/>
      <c r="FD3" s="210"/>
      <c r="FE3" s="210"/>
      <c r="FF3" s="210"/>
      <c r="FG3" s="210"/>
      <c r="FH3" s="210"/>
      <c r="FI3" s="210"/>
      <c r="FJ3" s="210"/>
      <c r="FK3" s="210"/>
      <c r="FL3" s="210"/>
      <c r="FM3" s="210"/>
      <c r="FN3" s="210"/>
      <c r="FO3" s="210"/>
      <c r="FP3" s="210"/>
      <c r="FQ3" s="210"/>
      <c r="FR3" s="210"/>
      <c r="FS3" s="210"/>
      <c r="FT3" s="210"/>
      <c r="FU3" s="210"/>
      <c r="FV3" s="210"/>
      <c r="FW3" s="210"/>
      <c r="FX3" s="210"/>
      <c r="FY3" s="210"/>
      <c r="FZ3" s="210"/>
      <c r="GA3" s="210"/>
      <c r="GB3" s="210"/>
      <c r="GC3" s="210"/>
      <c r="GD3" s="211"/>
      <c r="GE3" s="209"/>
      <c r="GF3" s="210"/>
      <c r="GG3" s="210"/>
      <c r="GH3" s="210"/>
      <c r="GI3" s="210"/>
      <c r="GJ3" s="210"/>
      <c r="GK3" s="210"/>
      <c r="GL3" s="210"/>
      <c r="GM3" s="210"/>
      <c r="GN3" s="210"/>
      <c r="GO3" s="210"/>
      <c r="GP3" s="212"/>
      <c r="GQ3" s="213"/>
      <c r="GR3" s="213"/>
      <c r="GS3" s="213"/>
      <c r="GT3" s="213"/>
      <c r="GU3" s="213"/>
      <c r="GV3" s="213"/>
      <c r="GW3" s="213"/>
      <c r="GX3" s="213"/>
      <c r="GY3" s="213"/>
      <c r="GZ3" s="213"/>
      <c r="HA3" s="213"/>
      <c r="HB3" s="213"/>
      <c r="HC3" s="213"/>
      <c r="HD3" s="213"/>
      <c r="HE3" s="213"/>
      <c r="HF3" s="213"/>
      <c r="HG3" s="213"/>
      <c r="HH3" s="213"/>
      <c r="HI3" s="213"/>
      <c r="HJ3" s="213"/>
      <c r="HK3" s="213"/>
      <c r="HL3" s="213"/>
      <c r="HM3" s="213"/>
      <c r="HN3" s="213"/>
      <c r="HO3" s="213"/>
      <c r="HP3" s="213"/>
      <c r="HQ3" s="213"/>
      <c r="HR3" s="213"/>
      <c r="HS3" s="213"/>
      <c r="HT3" s="213"/>
      <c r="HU3" s="213"/>
      <c r="HV3" s="213"/>
      <c r="HW3" s="213"/>
      <c r="HX3" s="213"/>
      <c r="HY3" s="213"/>
      <c r="HZ3" s="213"/>
      <c r="IA3" s="213"/>
      <c r="IB3" s="213"/>
      <c r="IC3" s="213"/>
      <c r="ID3" s="213"/>
      <c r="IE3" s="213"/>
      <c r="IF3" s="213"/>
      <c r="IG3" s="213"/>
      <c r="IH3" s="213"/>
      <c r="II3" s="213"/>
      <c r="IJ3" s="213"/>
      <c r="IK3" s="213"/>
      <c r="IL3" s="214"/>
      <c r="IM3" s="216"/>
      <c r="IN3" s="216"/>
      <c r="IO3" s="216"/>
      <c r="IP3" s="216"/>
      <c r="IQ3" s="216"/>
      <c r="IR3" s="216"/>
      <c r="IS3" s="216"/>
      <c r="IT3" s="216"/>
      <c r="IU3" s="216"/>
      <c r="IV3" s="216"/>
      <c r="IW3" s="216"/>
      <c r="IX3" s="216"/>
      <c r="IY3" s="216"/>
      <c r="IZ3" s="216"/>
      <c r="JA3" s="216"/>
      <c r="JB3" s="216"/>
      <c r="JC3" s="216"/>
      <c r="JD3" s="216"/>
      <c r="JE3" s="216"/>
      <c r="JF3" s="216"/>
      <c r="JG3" s="216"/>
      <c r="JH3" s="216"/>
      <c r="JI3" s="216"/>
      <c r="JJ3" s="216"/>
      <c r="JK3" s="216"/>
      <c r="JL3" s="216"/>
      <c r="JM3" s="216"/>
      <c r="JN3" s="216"/>
      <c r="JO3" s="216"/>
      <c r="JP3" s="216"/>
      <c r="JQ3" s="216"/>
      <c r="LM3" s="205"/>
      <c r="LN3" s="193"/>
      <c r="LO3" s="194"/>
      <c r="LP3" s="195"/>
      <c r="LQ3" s="193"/>
      <c r="LR3" s="194"/>
      <c r="LS3" s="195"/>
      <c r="LT3" s="193"/>
      <c r="LU3" s="194"/>
      <c r="LV3" s="195"/>
      <c r="LW3" s="193"/>
      <c r="LX3" s="194"/>
      <c r="LY3" s="195"/>
      <c r="LZ3" s="193"/>
      <c r="MA3" s="194"/>
      <c r="MB3" s="195"/>
      <c r="MC3" s="193"/>
      <c r="MD3" s="194"/>
      <c r="ME3" s="195"/>
      <c r="MF3" s="193"/>
      <c r="MG3" s="194"/>
      <c r="MH3" s="195"/>
      <c r="MI3" s="193"/>
      <c r="MJ3" s="194"/>
      <c r="MK3" s="195"/>
      <c r="ML3" s="193"/>
      <c r="MM3" s="194"/>
      <c r="MN3" s="195"/>
      <c r="MO3" s="193"/>
      <c r="MP3" s="194"/>
      <c r="MQ3" s="195"/>
      <c r="MR3" s="193"/>
      <c r="MS3" s="194"/>
      <c r="MT3" s="195"/>
      <c r="MU3" s="193"/>
      <c r="MV3" s="194"/>
      <c r="MW3" s="195"/>
      <c r="MX3" s="193"/>
      <c r="MY3" s="194"/>
      <c r="MZ3" s="195"/>
      <c r="NA3" s="193"/>
      <c r="NB3" s="194"/>
      <c r="NC3" s="195"/>
      <c r="ND3" s="193"/>
      <c r="NE3" s="194"/>
      <c r="NF3" s="195"/>
    </row>
    <row r="4" spans="1:370" s="1" customFormat="1" ht="17.25" customHeight="1" thickBot="1" x14ac:dyDescent="0.5">
      <c r="E4" s="213"/>
      <c r="F4" s="213"/>
      <c r="G4" s="213"/>
      <c r="H4" s="213"/>
      <c r="I4" s="213"/>
      <c r="J4" s="214"/>
      <c r="K4" s="212"/>
      <c r="L4" s="213"/>
      <c r="M4" s="213"/>
      <c r="N4" s="213"/>
      <c r="O4" s="213"/>
      <c r="P4" s="213"/>
      <c r="Q4" s="213"/>
      <c r="R4" s="213"/>
      <c r="S4" s="213"/>
      <c r="T4" s="214"/>
      <c r="U4" s="212"/>
      <c r="V4" s="213"/>
      <c r="W4" s="213"/>
      <c r="X4" s="213"/>
      <c r="Y4" s="213"/>
      <c r="Z4" s="214"/>
      <c r="AA4" s="226"/>
      <c r="AB4" s="227"/>
      <c r="AC4" s="227"/>
      <c r="AD4" s="227"/>
      <c r="AE4" s="227"/>
      <c r="AF4" s="227"/>
      <c r="AG4" s="227"/>
      <c r="AH4" s="227"/>
      <c r="AI4" s="227"/>
      <c r="AJ4" s="228"/>
      <c r="AK4" s="212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4"/>
      <c r="BD4" s="235"/>
      <c r="BE4" s="236"/>
      <c r="BF4" s="236"/>
      <c r="BG4" s="236"/>
      <c r="BH4" s="236"/>
      <c r="BI4" s="236"/>
      <c r="BJ4" s="236"/>
      <c r="BK4" s="236"/>
      <c r="BL4" s="237"/>
      <c r="BM4" s="10"/>
      <c r="BN4" s="212"/>
      <c r="BO4" s="213"/>
      <c r="BP4" s="213"/>
      <c r="BQ4" s="213"/>
      <c r="BR4" s="213"/>
      <c r="BS4" s="213"/>
      <c r="BT4" s="213"/>
      <c r="BU4" s="213"/>
      <c r="BV4" s="213"/>
      <c r="BW4" s="213"/>
      <c r="BX4" s="213"/>
      <c r="BY4" s="213"/>
      <c r="BZ4" s="213"/>
      <c r="CA4" s="213"/>
      <c r="CB4" s="213"/>
      <c r="CC4" s="213"/>
      <c r="CD4" s="213"/>
      <c r="CE4" s="213"/>
      <c r="CF4" s="213"/>
      <c r="CG4" s="213"/>
      <c r="CH4" s="213"/>
      <c r="CI4" s="213"/>
      <c r="CJ4" s="213"/>
      <c r="CK4" s="213"/>
      <c r="CL4" s="213"/>
      <c r="CM4" s="213"/>
      <c r="CN4" s="213"/>
      <c r="CO4" s="214"/>
      <c r="CP4" s="212"/>
      <c r="CQ4" s="213"/>
      <c r="CR4" s="213"/>
      <c r="CS4" s="213"/>
      <c r="CT4" s="213"/>
      <c r="CU4" s="213"/>
      <c r="CV4" s="213"/>
      <c r="CW4" s="213"/>
      <c r="CX4" s="213"/>
      <c r="CY4" s="213"/>
      <c r="CZ4" s="213"/>
      <c r="DA4" s="213"/>
      <c r="DB4" s="213"/>
      <c r="DC4" s="213"/>
      <c r="DD4" s="213"/>
      <c r="DE4" s="213"/>
      <c r="DF4" s="213"/>
      <c r="DG4" s="213"/>
      <c r="DH4" s="213"/>
      <c r="DI4" s="213"/>
      <c r="DJ4" s="213"/>
      <c r="DK4" s="213"/>
      <c r="DL4" s="213"/>
      <c r="DM4" s="213"/>
      <c r="DN4" s="213"/>
      <c r="DO4" s="213"/>
      <c r="DP4" s="213"/>
      <c r="DQ4" s="213"/>
      <c r="DR4" s="213"/>
      <c r="DS4" s="214"/>
      <c r="DT4" s="11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3"/>
      <c r="EX4" s="212"/>
      <c r="EY4" s="213"/>
      <c r="EZ4" s="213"/>
      <c r="FA4" s="213"/>
      <c r="FB4" s="213"/>
      <c r="FC4" s="213"/>
      <c r="FD4" s="213"/>
      <c r="FE4" s="213"/>
      <c r="FF4" s="213"/>
      <c r="FG4" s="213"/>
      <c r="FH4" s="213"/>
      <c r="FI4" s="213"/>
      <c r="FJ4" s="213"/>
      <c r="FK4" s="213"/>
      <c r="FL4" s="213"/>
      <c r="FM4" s="213"/>
      <c r="FN4" s="213"/>
      <c r="FO4" s="213"/>
      <c r="FP4" s="213"/>
      <c r="FQ4" s="213"/>
      <c r="FR4" s="213"/>
      <c r="FS4" s="213"/>
      <c r="FT4" s="213"/>
      <c r="FU4" s="213"/>
      <c r="FV4" s="213"/>
      <c r="FW4" s="213"/>
      <c r="FX4" s="213"/>
      <c r="FY4" s="213"/>
      <c r="FZ4" s="213"/>
      <c r="GA4" s="213"/>
      <c r="GB4" s="213"/>
      <c r="GC4" s="213"/>
      <c r="GD4" s="214"/>
      <c r="GE4" s="226"/>
      <c r="GF4" s="227"/>
      <c r="GG4" s="227"/>
      <c r="GH4" s="227"/>
      <c r="GI4" s="227"/>
      <c r="GJ4" s="227"/>
      <c r="GK4" s="227"/>
      <c r="GL4" s="227"/>
      <c r="GM4" s="227"/>
      <c r="GN4" s="227"/>
      <c r="GO4" s="227"/>
      <c r="GP4" s="199" t="s">
        <v>28</v>
      </c>
      <c r="GQ4" s="199"/>
      <c r="GR4" s="199"/>
      <c r="GS4" s="199"/>
      <c r="GT4" s="199"/>
      <c r="GU4" s="199"/>
      <c r="GV4" s="199"/>
      <c r="GW4" s="199"/>
      <c r="GX4" s="199"/>
      <c r="GY4" s="199"/>
      <c r="GZ4" s="199"/>
      <c r="HA4" s="199"/>
      <c r="HB4" s="199"/>
      <c r="HC4" s="199"/>
      <c r="HD4" s="199"/>
      <c r="HE4" s="199"/>
      <c r="HF4" s="199"/>
      <c r="HG4" s="199"/>
      <c r="HH4" s="199"/>
      <c r="HI4" s="199"/>
      <c r="HJ4" s="199"/>
      <c r="HK4" s="199"/>
      <c r="HL4" s="199" t="s">
        <v>29</v>
      </c>
      <c r="HM4" s="199"/>
      <c r="HN4" s="199"/>
      <c r="HO4" s="199"/>
      <c r="HP4" s="199"/>
      <c r="HQ4" s="199"/>
      <c r="HR4" s="199" t="s">
        <v>30</v>
      </c>
      <c r="HS4" s="199"/>
      <c r="HT4" s="199"/>
      <c r="HU4" s="199"/>
      <c r="HV4" s="199"/>
      <c r="HW4" s="199"/>
      <c r="HX4" s="199"/>
      <c r="HY4" s="199"/>
      <c r="HZ4" s="199"/>
      <c r="IA4" s="199"/>
      <c r="IB4" s="199"/>
      <c r="IC4" s="199"/>
      <c r="ID4" s="199" t="s">
        <v>31</v>
      </c>
      <c r="IE4" s="199"/>
      <c r="IF4" s="199"/>
      <c r="IG4" s="199"/>
      <c r="IH4" s="199"/>
      <c r="II4" s="199"/>
      <c r="IJ4" s="199"/>
      <c r="IK4" s="199"/>
      <c r="IL4" s="199"/>
      <c r="IM4" s="216"/>
      <c r="IN4" s="216"/>
      <c r="IO4" s="216"/>
      <c r="IP4" s="216"/>
      <c r="IQ4" s="216"/>
      <c r="IR4" s="216"/>
      <c r="IS4" s="216"/>
      <c r="IT4" s="216"/>
      <c r="IU4" s="216"/>
      <c r="IV4" s="216"/>
      <c r="IW4" s="216"/>
      <c r="IX4" s="216"/>
      <c r="IY4" s="216"/>
      <c r="IZ4" s="216"/>
      <c r="JA4" s="216"/>
      <c r="JB4" s="216"/>
      <c r="JC4" s="216"/>
      <c r="JD4" s="216"/>
      <c r="JE4" s="216"/>
      <c r="JF4" s="216"/>
      <c r="JG4" s="216"/>
      <c r="JH4" s="216"/>
      <c r="JI4" s="216"/>
      <c r="JJ4" s="216"/>
      <c r="JK4" s="216"/>
      <c r="JL4" s="216"/>
      <c r="JM4" s="216"/>
      <c r="JN4" s="216"/>
      <c r="JO4" s="216"/>
      <c r="JP4" s="216"/>
      <c r="JQ4" s="216"/>
      <c r="LM4" s="205"/>
      <c r="LN4" s="193"/>
      <c r="LO4" s="194"/>
      <c r="LP4" s="195"/>
      <c r="LQ4" s="193"/>
      <c r="LR4" s="194"/>
      <c r="LS4" s="195"/>
      <c r="LT4" s="193"/>
      <c r="LU4" s="194"/>
      <c r="LV4" s="195"/>
      <c r="LW4" s="193"/>
      <c r="LX4" s="194"/>
      <c r="LY4" s="195"/>
      <c r="LZ4" s="193"/>
      <c r="MA4" s="194"/>
      <c r="MB4" s="195"/>
      <c r="MC4" s="193"/>
      <c r="MD4" s="194"/>
      <c r="ME4" s="195"/>
      <c r="MF4" s="193"/>
      <c r="MG4" s="194"/>
      <c r="MH4" s="195"/>
      <c r="MI4" s="193"/>
      <c r="MJ4" s="194"/>
      <c r="MK4" s="195"/>
      <c r="ML4" s="193"/>
      <c r="MM4" s="194"/>
      <c r="MN4" s="195"/>
      <c r="MO4" s="193"/>
      <c r="MP4" s="194"/>
      <c r="MQ4" s="195"/>
      <c r="MR4" s="193"/>
      <c r="MS4" s="194"/>
      <c r="MT4" s="195"/>
      <c r="MU4" s="193"/>
      <c r="MV4" s="194"/>
      <c r="MW4" s="195"/>
      <c r="MX4" s="193"/>
      <c r="MY4" s="194"/>
      <c r="MZ4" s="195"/>
      <c r="NA4" s="193"/>
      <c r="NB4" s="194"/>
      <c r="NC4" s="195"/>
      <c r="ND4" s="193"/>
      <c r="NE4" s="194"/>
      <c r="NF4" s="195"/>
    </row>
    <row r="5" spans="1:370" s="1" customFormat="1" ht="28.5" customHeight="1" x14ac:dyDescent="0.45">
      <c r="A5" s="317" t="s">
        <v>787</v>
      </c>
      <c r="B5" s="317"/>
      <c r="C5" s="223" t="s">
        <v>32</v>
      </c>
      <c r="D5" s="223" t="s">
        <v>33</v>
      </c>
      <c r="E5" s="222" t="s">
        <v>34</v>
      </c>
      <c r="F5" s="223" t="s">
        <v>35</v>
      </c>
      <c r="G5" s="224" t="s">
        <v>36</v>
      </c>
      <c r="H5" s="224" t="s">
        <v>37</v>
      </c>
      <c r="I5" s="222" t="s">
        <v>38</v>
      </c>
      <c r="J5" s="222" t="s">
        <v>39</v>
      </c>
      <c r="K5" s="14"/>
      <c r="L5" s="221" t="s">
        <v>40</v>
      </c>
      <c r="M5" s="241" t="s">
        <v>41</v>
      </c>
      <c r="N5" s="241" t="s">
        <v>42</v>
      </c>
      <c r="O5" s="221" t="s">
        <v>43</v>
      </c>
      <c r="P5" s="223" t="s">
        <v>44</v>
      </c>
      <c r="Q5" s="222" t="s">
        <v>45</v>
      </c>
      <c r="R5" s="223" t="s">
        <v>46</v>
      </c>
      <c r="S5" s="238" t="s">
        <v>47</v>
      </c>
      <c r="T5" s="223" t="s">
        <v>48</v>
      </c>
      <c r="U5" s="14"/>
      <c r="V5" s="240" t="s">
        <v>49</v>
      </c>
      <c r="W5" s="246" t="s">
        <v>50</v>
      </c>
      <c r="X5" s="246" t="s">
        <v>51</v>
      </c>
      <c r="Y5" s="246" t="s">
        <v>52</v>
      </c>
      <c r="Z5" s="246" t="s">
        <v>53</v>
      </c>
      <c r="AA5" s="15"/>
      <c r="AB5" s="242" t="s">
        <v>54</v>
      </c>
      <c r="AC5" s="242" t="s">
        <v>55</v>
      </c>
      <c r="AD5" s="242" t="s">
        <v>56</v>
      </c>
      <c r="AE5" s="243" t="s">
        <v>57</v>
      </c>
      <c r="AF5" s="243" t="s">
        <v>58</v>
      </c>
      <c r="AG5" s="245" t="s">
        <v>59</v>
      </c>
      <c r="AH5" s="243" t="s">
        <v>60</v>
      </c>
      <c r="AI5" s="243" t="s">
        <v>61</v>
      </c>
      <c r="AJ5" s="242" t="s">
        <v>62</v>
      </c>
      <c r="AK5" s="16"/>
      <c r="AL5" s="247" t="s">
        <v>63</v>
      </c>
      <c r="AM5" s="247" t="s">
        <v>64</v>
      </c>
      <c r="AN5" s="248" t="s">
        <v>65</v>
      </c>
      <c r="AO5" s="17" t="s">
        <v>66</v>
      </c>
      <c r="AP5" s="249" t="s">
        <v>67</v>
      </c>
      <c r="AQ5" s="189"/>
      <c r="AR5" s="222" t="s">
        <v>68</v>
      </c>
      <c r="AS5" s="244" t="s">
        <v>69</v>
      </c>
      <c r="AT5" s="244" t="s">
        <v>70</v>
      </c>
      <c r="AU5" s="244" t="s">
        <v>71</v>
      </c>
      <c r="AV5" s="244" t="s">
        <v>72</v>
      </c>
      <c r="AW5" s="244" t="s">
        <v>73</v>
      </c>
      <c r="AX5" s="244" t="s">
        <v>74</v>
      </c>
      <c r="AY5" s="249" t="s">
        <v>75</v>
      </c>
      <c r="AZ5" s="244" t="s">
        <v>76</v>
      </c>
      <c r="BA5" s="244" t="s">
        <v>77</v>
      </c>
      <c r="BB5" s="251" t="s">
        <v>78</v>
      </c>
      <c r="BC5" s="244" t="s">
        <v>79</v>
      </c>
      <c r="BD5" s="18"/>
      <c r="BE5" s="250" t="s">
        <v>80</v>
      </c>
      <c r="BF5" s="250" t="s">
        <v>81</v>
      </c>
      <c r="BG5" s="250" t="s">
        <v>82</v>
      </c>
      <c r="BH5" s="250" t="s">
        <v>83</v>
      </c>
      <c r="BI5" s="250" t="s">
        <v>84</v>
      </c>
      <c r="BJ5" s="250" t="s">
        <v>85</v>
      </c>
      <c r="BK5" s="250" t="s">
        <v>86</v>
      </c>
      <c r="BL5" s="250" t="s">
        <v>87</v>
      </c>
      <c r="BM5" s="262" t="s">
        <v>88</v>
      </c>
      <c r="BN5" s="253" t="s">
        <v>89</v>
      </c>
      <c r="BO5" s="254"/>
      <c r="BP5" s="254"/>
      <c r="BQ5" s="254"/>
      <c r="BR5" s="254"/>
      <c r="BS5" s="254"/>
      <c r="BT5" s="254"/>
      <c r="BU5" s="254"/>
      <c r="BV5" s="254"/>
      <c r="BW5" s="255"/>
      <c r="BX5" s="256" t="s">
        <v>90</v>
      </c>
      <c r="BY5" s="257"/>
      <c r="BZ5" s="257"/>
      <c r="CA5" s="257"/>
      <c r="CB5" s="257"/>
      <c r="CC5" s="257"/>
      <c r="CD5" s="257"/>
      <c r="CE5" s="258"/>
      <c r="CF5" s="253" t="s">
        <v>91</v>
      </c>
      <c r="CG5" s="254"/>
      <c r="CH5" s="254"/>
      <c r="CI5" s="254"/>
      <c r="CJ5" s="254"/>
      <c r="CK5" s="254"/>
      <c r="CL5" s="254"/>
      <c r="CM5" s="254"/>
      <c r="CN5" s="254"/>
      <c r="CO5" s="255"/>
      <c r="CP5" s="256" t="s">
        <v>92</v>
      </c>
      <c r="CQ5" s="257"/>
      <c r="CR5" s="257"/>
      <c r="CS5" s="257"/>
      <c r="CT5" s="257"/>
      <c r="CU5" s="257"/>
      <c r="CV5" s="257"/>
      <c r="CW5" s="257"/>
      <c r="CX5" s="257"/>
      <c r="CY5" s="258"/>
      <c r="CZ5" s="253" t="s">
        <v>93</v>
      </c>
      <c r="DA5" s="254"/>
      <c r="DB5" s="254"/>
      <c r="DC5" s="254"/>
      <c r="DD5" s="254"/>
      <c r="DE5" s="254"/>
      <c r="DF5" s="254"/>
      <c r="DG5" s="254"/>
      <c r="DH5" s="254"/>
      <c r="DI5" s="255"/>
      <c r="DJ5" s="256" t="s">
        <v>94</v>
      </c>
      <c r="DK5" s="257"/>
      <c r="DL5" s="257"/>
      <c r="DM5" s="257"/>
      <c r="DN5" s="257"/>
      <c r="DO5" s="257"/>
      <c r="DP5" s="257"/>
      <c r="DQ5" s="257"/>
      <c r="DR5" s="257"/>
      <c r="DS5" s="258"/>
      <c r="DT5" s="253" t="s">
        <v>95</v>
      </c>
      <c r="DU5" s="254"/>
      <c r="DV5" s="254"/>
      <c r="DW5" s="254"/>
      <c r="DX5" s="254"/>
      <c r="DY5" s="254"/>
      <c r="DZ5" s="254"/>
      <c r="EA5" s="254"/>
      <c r="EB5" s="254"/>
      <c r="EC5" s="255"/>
      <c r="ED5" s="256" t="s">
        <v>96</v>
      </c>
      <c r="EE5" s="257"/>
      <c r="EF5" s="257"/>
      <c r="EG5" s="257"/>
      <c r="EH5" s="257"/>
      <c r="EI5" s="257"/>
      <c r="EJ5" s="257"/>
      <c r="EK5" s="257"/>
      <c r="EL5" s="257"/>
      <c r="EM5" s="258"/>
      <c r="EN5" s="253" t="s">
        <v>97</v>
      </c>
      <c r="EO5" s="254"/>
      <c r="EP5" s="254"/>
      <c r="EQ5" s="254"/>
      <c r="ER5" s="254"/>
      <c r="ES5" s="254"/>
      <c r="ET5" s="254"/>
      <c r="EU5" s="254"/>
      <c r="EV5" s="254"/>
      <c r="EW5" s="255"/>
      <c r="EX5" s="259" t="s">
        <v>98</v>
      </c>
      <c r="EY5" s="260"/>
      <c r="EZ5" s="260"/>
      <c r="FA5" s="260"/>
      <c r="FB5" s="260"/>
      <c r="FC5" s="260"/>
      <c r="FD5" s="260"/>
      <c r="FE5" s="260"/>
      <c r="FF5" s="260"/>
      <c r="FG5" s="260"/>
      <c r="FH5" s="261"/>
      <c r="FI5" s="268" t="s">
        <v>99</v>
      </c>
      <c r="FJ5" s="269"/>
      <c r="FK5" s="269"/>
      <c r="FL5" s="269"/>
      <c r="FM5" s="269"/>
      <c r="FN5" s="269"/>
      <c r="FO5" s="269"/>
      <c r="FP5" s="269"/>
      <c r="FQ5" s="269"/>
      <c r="FR5" s="269"/>
      <c r="FS5" s="270"/>
      <c r="FT5" s="259" t="s">
        <v>100</v>
      </c>
      <c r="FU5" s="260"/>
      <c r="FV5" s="260"/>
      <c r="FW5" s="260"/>
      <c r="FX5" s="260"/>
      <c r="FY5" s="260"/>
      <c r="FZ5" s="260"/>
      <c r="GA5" s="260"/>
      <c r="GB5" s="260"/>
      <c r="GC5" s="260"/>
      <c r="GD5" s="261"/>
      <c r="GE5" s="19"/>
      <c r="GF5" s="264" t="s">
        <v>101</v>
      </c>
      <c r="GG5" s="266" t="s">
        <v>102</v>
      </c>
      <c r="GH5" s="264" t="s">
        <v>103</v>
      </c>
      <c r="GI5" s="264" t="s">
        <v>104</v>
      </c>
      <c r="GJ5" s="264" t="s">
        <v>105</v>
      </c>
      <c r="GK5" s="266" t="s">
        <v>106</v>
      </c>
      <c r="GL5" s="264" t="s">
        <v>107</v>
      </c>
      <c r="GM5" s="264" t="s">
        <v>108</v>
      </c>
      <c r="GN5" s="264" t="s">
        <v>109</v>
      </c>
      <c r="GO5" s="264" t="s">
        <v>110</v>
      </c>
      <c r="GP5" s="20"/>
      <c r="GQ5" s="200" t="s">
        <v>111</v>
      </c>
      <c r="GR5" s="202" t="s">
        <v>112</v>
      </c>
      <c r="GS5" s="202" t="s">
        <v>113</v>
      </c>
      <c r="GT5" s="202" t="s">
        <v>114</v>
      </c>
      <c r="GU5" s="200" t="s">
        <v>115</v>
      </c>
      <c r="GV5" s="202" t="s">
        <v>116</v>
      </c>
      <c r="GW5" s="202" t="s">
        <v>117</v>
      </c>
      <c r="GX5" s="202" t="s">
        <v>118</v>
      </c>
      <c r="GY5" s="217" t="s">
        <v>119</v>
      </c>
      <c r="GZ5" s="219" t="s">
        <v>120</v>
      </c>
      <c r="HA5" s="202" t="s">
        <v>121</v>
      </c>
      <c r="HB5" s="202" t="s">
        <v>122</v>
      </c>
      <c r="HC5" s="217" t="s">
        <v>123</v>
      </c>
      <c r="HD5" s="217" t="s">
        <v>124</v>
      </c>
      <c r="HE5" s="217" t="s">
        <v>125</v>
      </c>
      <c r="HF5" s="217" t="s">
        <v>126</v>
      </c>
      <c r="HG5" s="273" t="s">
        <v>127</v>
      </c>
      <c r="HH5" s="277" t="s">
        <v>128</v>
      </c>
      <c r="HI5" s="273" t="s">
        <v>129</v>
      </c>
      <c r="HJ5" s="277" t="s">
        <v>130</v>
      </c>
      <c r="HK5" s="273" t="s">
        <v>131</v>
      </c>
      <c r="HL5" s="217" t="s">
        <v>132</v>
      </c>
      <c r="HM5" s="217" t="s">
        <v>133</v>
      </c>
      <c r="HN5" s="217" t="s">
        <v>134</v>
      </c>
      <c r="HO5" s="275" t="s">
        <v>135</v>
      </c>
      <c r="HP5" s="275" t="s">
        <v>136</v>
      </c>
      <c r="HQ5" s="275" t="s">
        <v>137</v>
      </c>
      <c r="HR5" s="271" t="s">
        <v>138</v>
      </c>
      <c r="HS5" s="271" t="s">
        <v>139</v>
      </c>
      <c r="HT5" s="271" t="s">
        <v>140</v>
      </c>
      <c r="HU5" s="271" t="s">
        <v>141</v>
      </c>
      <c r="HV5" s="271" t="s">
        <v>142</v>
      </c>
      <c r="HW5" s="290" t="s">
        <v>143</v>
      </c>
      <c r="HX5" s="290" t="s">
        <v>144</v>
      </c>
      <c r="HY5" s="290" t="s">
        <v>145</v>
      </c>
      <c r="HZ5" s="292" t="s">
        <v>146</v>
      </c>
      <c r="IA5" s="292" t="s">
        <v>147</v>
      </c>
      <c r="IB5" s="292" t="s">
        <v>148</v>
      </c>
      <c r="IC5" s="286" t="s">
        <v>149</v>
      </c>
      <c r="ID5" s="288" t="s">
        <v>150</v>
      </c>
      <c r="IE5" s="279" t="s">
        <v>151</v>
      </c>
      <c r="IF5" s="279" t="s">
        <v>152</v>
      </c>
      <c r="IG5" s="279" t="s">
        <v>153</v>
      </c>
      <c r="IH5" s="279" t="s">
        <v>154</v>
      </c>
      <c r="II5" s="279" t="s">
        <v>155</v>
      </c>
      <c r="IJ5" s="279" t="s">
        <v>156</v>
      </c>
      <c r="IK5" s="279" t="s">
        <v>157</v>
      </c>
      <c r="IL5" s="279" t="s">
        <v>158</v>
      </c>
      <c r="IM5" s="21"/>
      <c r="IN5" s="22"/>
      <c r="IO5" s="281" t="s">
        <v>159</v>
      </c>
      <c r="IP5" s="282"/>
      <c r="IQ5" s="282"/>
      <c r="IR5" s="282"/>
      <c r="IS5" s="282"/>
      <c r="IT5" s="282"/>
      <c r="IU5" s="282"/>
      <c r="IV5" s="282"/>
      <c r="IW5" s="282"/>
      <c r="IX5" s="282"/>
      <c r="IY5" s="282"/>
      <c r="IZ5" s="282"/>
      <c r="JA5" s="282"/>
      <c r="JB5" s="282"/>
      <c r="JC5" s="283" t="s">
        <v>160</v>
      </c>
      <c r="JD5" s="284"/>
      <c r="JE5" s="284"/>
      <c r="JF5" s="284"/>
      <c r="JG5" s="284"/>
      <c r="JH5" s="284"/>
      <c r="JI5" s="284"/>
      <c r="JJ5" s="284"/>
      <c r="JK5" s="284"/>
      <c r="JL5" s="284"/>
      <c r="JM5" s="284"/>
      <c r="JN5" s="284"/>
      <c r="JO5" s="284"/>
      <c r="JP5" s="284"/>
      <c r="JQ5" s="285"/>
      <c r="LM5" s="205"/>
      <c r="LN5" s="193"/>
      <c r="LO5" s="194"/>
      <c r="LP5" s="195"/>
      <c r="LQ5" s="193"/>
      <c r="LR5" s="194"/>
      <c r="LS5" s="195"/>
      <c r="LT5" s="193"/>
      <c r="LU5" s="194"/>
      <c r="LV5" s="195"/>
      <c r="LW5" s="193"/>
      <c r="LX5" s="194"/>
      <c r="LY5" s="195"/>
      <c r="LZ5" s="193"/>
      <c r="MA5" s="194"/>
      <c r="MB5" s="195"/>
      <c r="MC5" s="193"/>
      <c r="MD5" s="194"/>
      <c r="ME5" s="195"/>
      <c r="MF5" s="193"/>
      <c r="MG5" s="194"/>
      <c r="MH5" s="195"/>
      <c r="MI5" s="193"/>
      <c r="MJ5" s="194"/>
      <c r="MK5" s="195"/>
      <c r="ML5" s="193"/>
      <c r="MM5" s="194"/>
      <c r="MN5" s="195"/>
      <c r="MO5" s="193"/>
      <c r="MP5" s="194"/>
      <c r="MQ5" s="195"/>
      <c r="MR5" s="193"/>
      <c r="MS5" s="194"/>
      <c r="MT5" s="195"/>
      <c r="MU5" s="193"/>
      <c r="MV5" s="194"/>
      <c r="MW5" s="195"/>
      <c r="MX5" s="193"/>
      <c r="MY5" s="194"/>
      <c r="MZ5" s="195"/>
      <c r="NA5" s="193"/>
      <c r="NB5" s="194"/>
      <c r="NC5" s="195"/>
      <c r="ND5" s="193"/>
      <c r="NE5" s="194"/>
      <c r="NF5" s="195"/>
    </row>
    <row r="6" spans="1:370" s="1" customFormat="1" ht="30" customHeight="1" x14ac:dyDescent="0.45">
      <c r="A6" s="317"/>
      <c r="B6" s="317"/>
      <c r="C6" s="223"/>
      <c r="D6" s="223"/>
      <c r="E6" s="222"/>
      <c r="F6" s="223"/>
      <c r="G6" s="225"/>
      <c r="H6" s="225"/>
      <c r="I6" s="222"/>
      <c r="J6" s="222"/>
      <c r="K6" s="14"/>
      <c r="L6" s="221"/>
      <c r="M6" s="241"/>
      <c r="N6" s="241"/>
      <c r="O6" s="221"/>
      <c r="P6" s="223"/>
      <c r="Q6" s="222"/>
      <c r="R6" s="223"/>
      <c r="S6" s="239"/>
      <c r="T6" s="223"/>
      <c r="U6" s="14"/>
      <c r="V6" s="240"/>
      <c r="W6" s="246"/>
      <c r="X6" s="246"/>
      <c r="Y6" s="246"/>
      <c r="Z6" s="246"/>
      <c r="AA6" s="16"/>
      <c r="AB6" s="240"/>
      <c r="AC6" s="240"/>
      <c r="AD6" s="240"/>
      <c r="AE6" s="244"/>
      <c r="AF6" s="244"/>
      <c r="AG6" s="222"/>
      <c r="AH6" s="244"/>
      <c r="AI6" s="244"/>
      <c r="AJ6" s="240"/>
      <c r="AK6" s="16"/>
      <c r="AL6" s="247"/>
      <c r="AM6" s="247"/>
      <c r="AN6" s="248"/>
      <c r="AO6" s="17"/>
      <c r="AP6" s="249"/>
      <c r="AQ6" s="189" t="s">
        <v>161</v>
      </c>
      <c r="AR6" s="222"/>
      <c r="AS6" s="244"/>
      <c r="AT6" s="244"/>
      <c r="AU6" s="244"/>
      <c r="AV6" s="244"/>
      <c r="AW6" s="244"/>
      <c r="AX6" s="244"/>
      <c r="AY6" s="249"/>
      <c r="AZ6" s="244"/>
      <c r="BA6" s="244"/>
      <c r="BB6" s="252"/>
      <c r="BC6" s="244"/>
      <c r="BD6" s="23"/>
      <c r="BE6" s="250"/>
      <c r="BF6" s="250"/>
      <c r="BG6" s="250"/>
      <c r="BH6" s="250"/>
      <c r="BI6" s="250"/>
      <c r="BJ6" s="250"/>
      <c r="BK6" s="250"/>
      <c r="BL6" s="250"/>
      <c r="BM6" s="263"/>
      <c r="BN6" s="24" t="s">
        <v>162</v>
      </c>
      <c r="BO6" s="24" t="s">
        <v>163</v>
      </c>
      <c r="BP6" s="24" t="s">
        <v>164</v>
      </c>
      <c r="BQ6" s="24" t="s">
        <v>165</v>
      </c>
      <c r="BR6" s="24" t="s">
        <v>166</v>
      </c>
      <c r="BS6" s="25" t="s">
        <v>167</v>
      </c>
      <c r="BT6" s="26" t="s">
        <v>168</v>
      </c>
      <c r="BU6" s="26" t="s">
        <v>169</v>
      </c>
      <c r="BV6" s="26" t="s">
        <v>170</v>
      </c>
      <c r="BW6" s="26" t="s">
        <v>171</v>
      </c>
      <c r="BX6" s="27" t="s">
        <v>162</v>
      </c>
      <c r="BY6" s="27" t="s">
        <v>172</v>
      </c>
      <c r="BZ6" s="27" t="s">
        <v>173</v>
      </c>
      <c r="CA6" s="27" t="s">
        <v>165</v>
      </c>
      <c r="CB6" s="27" t="s">
        <v>166</v>
      </c>
      <c r="CC6" s="28" t="s">
        <v>167</v>
      </c>
      <c r="CD6" s="29" t="s">
        <v>174</v>
      </c>
      <c r="CE6" s="29" t="s">
        <v>171</v>
      </c>
      <c r="CF6" s="24" t="s">
        <v>162</v>
      </c>
      <c r="CG6" s="24" t="s">
        <v>172</v>
      </c>
      <c r="CH6" s="24" t="s">
        <v>173</v>
      </c>
      <c r="CI6" s="24" t="s">
        <v>165</v>
      </c>
      <c r="CJ6" s="24" t="s">
        <v>166</v>
      </c>
      <c r="CK6" s="25" t="s">
        <v>167</v>
      </c>
      <c r="CL6" s="25" t="s">
        <v>175</v>
      </c>
      <c r="CM6" s="25" t="s">
        <v>176</v>
      </c>
      <c r="CN6" s="25" t="s">
        <v>177</v>
      </c>
      <c r="CO6" s="30" t="s">
        <v>171</v>
      </c>
      <c r="CP6" s="27" t="s">
        <v>162</v>
      </c>
      <c r="CQ6" s="27" t="s">
        <v>172</v>
      </c>
      <c r="CR6" s="27" t="s">
        <v>173</v>
      </c>
      <c r="CS6" s="27" t="s">
        <v>165</v>
      </c>
      <c r="CT6" s="27" t="s">
        <v>166</v>
      </c>
      <c r="CU6" s="28" t="s">
        <v>167</v>
      </c>
      <c r="CV6" s="27" t="s">
        <v>178</v>
      </c>
      <c r="CW6" s="28" t="s">
        <v>179</v>
      </c>
      <c r="CX6" s="28" t="s">
        <v>170</v>
      </c>
      <c r="CY6" s="28" t="s">
        <v>180</v>
      </c>
      <c r="CZ6" s="24" t="s">
        <v>162</v>
      </c>
      <c r="DA6" s="24" t="s">
        <v>172</v>
      </c>
      <c r="DB6" s="24" t="s">
        <v>173</v>
      </c>
      <c r="DC6" s="24" t="s">
        <v>165</v>
      </c>
      <c r="DD6" s="24" t="s">
        <v>166</v>
      </c>
      <c r="DE6" s="25" t="s">
        <v>167</v>
      </c>
      <c r="DF6" s="25" t="s">
        <v>175</v>
      </c>
      <c r="DG6" s="25" t="s">
        <v>176</v>
      </c>
      <c r="DH6" s="25" t="s">
        <v>181</v>
      </c>
      <c r="DI6" s="25" t="s">
        <v>180</v>
      </c>
      <c r="DJ6" s="27" t="s">
        <v>162</v>
      </c>
      <c r="DK6" s="27" t="s">
        <v>172</v>
      </c>
      <c r="DL6" s="27" t="s">
        <v>173</v>
      </c>
      <c r="DM6" s="27" t="s">
        <v>165</v>
      </c>
      <c r="DN6" s="27" t="s">
        <v>166</v>
      </c>
      <c r="DO6" s="28" t="s">
        <v>167</v>
      </c>
      <c r="DP6" s="27" t="s">
        <v>175</v>
      </c>
      <c r="DQ6" s="28" t="s">
        <v>176</v>
      </c>
      <c r="DR6" s="28" t="s">
        <v>181</v>
      </c>
      <c r="DS6" s="28" t="s">
        <v>177</v>
      </c>
      <c r="DT6" s="24" t="s">
        <v>162</v>
      </c>
      <c r="DU6" s="24" t="s">
        <v>172</v>
      </c>
      <c r="DV6" s="24" t="s">
        <v>173</v>
      </c>
      <c r="DW6" s="24" t="s">
        <v>165</v>
      </c>
      <c r="DX6" s="24" t="s">
        <v>166</v>
      </c>
      <c r="DY6" s="25" t="s">
        <v>167</v>
      </c>
      <c r="DZ6" s="25" t="s">
        <v>175</v>
      </c>
      <c r="EA6" s="25" t="s">
        <v>176</v>
      </c>
      <c r="EB6" s="24" t="s">
        <v>182</v>
      </c>
      <c r="EC6" s="25" t="s">
        <v>183</v>
      </c>
      <c r="ED6" s="27" t="s">
        <v>162</v>
      </c>
      <c r="EE6" s="27" t="s">
        <v>172</v>
      </c>
      <c r="EF6" s="27" t="s">
        <v>173</v>
      </c>
      <c r="EG6" s="27" t="s">
        <v>165</v>
      </c>
      <c r="EH6" s="27" t="s">
        <v>166</v>
      </c>
      <c r="EI6" s="28" t="s">
        <v>167</v>
      </c>
      <c r="EJ6" s="27" t="s">
        <v>178</v>
      </c>
      <c r="EK6" s="28" t="s">
        <v>179</v>
      </c>
      <c r="EL6" s="28" t="s">
        <v>170</v>
      </c>
      <c r="EM6" s="28" t="s">
        <v>180</v>
      </c>
      <c r="EN6" s="24" t="s">
        <v>162</v>
      </c>
      <c r="EO6" s="24" t="s">
        <v>172</v>
      </c>
      <c r="EP6" s="24" t="s">
        <v>173</v>
      </c>
      <c r="EQ6" s="24" t="s">
        <v>165</v>
      </c>
      <c r="ER6" s="24" t="s">
        <v>166</v>
      </c>
      <c r="ES6" s="25" t="s">
        <v>167</v>
      </c>
      <c r="ET6" s="27" t="s">
        <v>178</v>
      </c>
      <c r="EU6" s="28" t="s">
        <v>179</v>
      </c>
      <c r="EV6" s="28" t="s">
        <v>170</v>
      </c>
      <c r="EW6" s="28" t="s">
        <v>180</v>
      </c>
      <c r="EX6" s="27" t="s">
        <v>162</v>
      </c>
      <c r="EY6" s="27" t="s">
        <v>172</v>
      </c>
      <c r="EZ6" s="27" t="s">
        <v>173</v>
      </c>
      <c r="FA6" s="27" t="s">
        <v>165</v>
      </c>
      <c r="FB6" s="27" t="s">
        <v>166</v>
      </c>
      <c r="FC6" s="28" t="s">
        <v>167</v>
      </c>
      <c r="FD6" s="28" t="s">
        <v>184</v>
      </c>
      <c r="FE6" s="28" t="s">
        <v>185</v>
      </c>
      <c r="FF6" s="27" t="s">
        <v>186</v>
      </c>
      <c r="FG6" s="28" t="s">
        <v>187</v>
      </c>
      <c r="FH6" s="28" t="s">
        <v>177</v>
      </c>
      <c r="FI6" s="24" t="s">
        <v>162</v>
      </c>
      <c r="FJ6" s="24" t="s">
        <v>172</v>
      </c>
      <c r="FK6" s="24" t="s">
        <v>173</v>
      </c>
      <c r="FL6" s="24" t="s">
        <v>165</v>
      </c>
      <c r="FM6" s="24" t="s">
        <v>166</v>
      </c>
      <c r="FN6" s="25" t="s">
        <v>167</v>
      </c>
      <c r="FO6" s="25" t="s">
        <v>184</v>
      </c>
      <c r="FP6" s="25" t="s">
        <v>185</v>
      </c>
      <c r="FQ6" s="24" t="s">
        <v>186</v>
      </c>
      <c r="FR6" s="25" t="s">
        <v>187</v>
      </c>
      <c r="FS6" s="25" t="s">
        <v>177</v>
      </c>
      <c r="FT6" s="27" t="s">
        <v>162</v>
      </c>
      <c r="FU6" s="27" t="s">
        <v>172</v>
      </c>
      <c r="FV6" s="27" t="s">
        <v>173</v>
      </c>
      <c r="FW6" s="27" t="s">
        <v>165</v>
      </c>
      <c r="FX6" s="27" t="s">
        <v>166</v>
      </c>
      <c r="FY6" s="28" t="s">
        <v>167</v>
      </c>
      <c r="FZ6" s="28" t="s">
        <v>184</v>
      </c>
      <c r="GA6" s="28" t="s">
        <v>185</v>
      </c>
      <c r="GB6" s="27" t="s">
        <v>186</v>
      </c>
      <c r="GC6" s="28" t="s">
        <v>187</v>
      </c>
      <c r="GD6" s="28" t="s">
        <v>177</v>
      </c>
      <c r="GE6" s="31"/>
      <c r="GF6" s="265"/>
      <c r="GG6" s="267"/>
      <c r="GH6" s="265"/>
      <c r="GI6" s="265"/>
      <c r="GJ6" s="265"/>
      <c r="GK6" s="267"/>
      <c r="GL6" s="265"/>
      <c r="GM6" s="265"/>
      <c r="GN6" s="265"/>
      <c r="GO6" s="265"/>
      <c r="GP6" s="32"/>
      <c r="GQ6" s="201"/>
      <c r="GR6" s="203"/>
      <c r="GS6" s="203"/>
      <c r="GT6" s="203"/>
      <c r="GU6" s="201"/>
      <c r="GV6" s="203"/>
      <c r="GW6" s="203"/>
      <c r="GX6" s="203"/>
      <c r="GY6" s="218"/>
      <c r="GZ6" s="220"/>
      <c r="HA6" s="203"/>
      <c r="HB6" s="203"/>
      <c r="HC6" s="218"/>
      <c r="HD6" s="218"/>
      <c r="HE6" s="218"/>
      <c r="HF6" s="218"/>
      <c r="HG6" s="274"/>
      <c r="HH6" s="278"/>
      <c r="HI6" s="274"/>
      <c r="HJ6" s="278"/>
      <c r="HK6" s="274"/>
      <c r="HL6" s="218"/>
      <c r="HM6" s="218"/>
      <c r="HN6" s="218"/>
      <c r="HO6" s="276"/>
      <c r="HP6" s="276"/>
      <c r="HQ6" s="276"/>
      <c r="HR6" s="272"/>
      <c r="HS6" s="272"/>
      <c r="HT6" s="272"/>
      <c r="HU6" s="272"/>
      <c r="HV6" s="272"/>
      <c r="HW6" s="291"/>
      <c r="HX6" s="291"/>
      <c r="HY6" s="291"/>
      <c r="HZ6" s="293"/>
      <c r="IA6" s="293"/>
      <c r="IB6" s="293"/>
      <c r="IC6" s="287"/>
      <c r="ID6" s="289"/>
      <c r="IE6" s="280"/>
      <c r="IF6" s="280"/>
      <c r="IG6" s="280"/>
      <c r="IH6" s="280"/>
      <c r="II6" s="280"/>
      <c r="IJ6" s="280"/>
      <c r="IK6" s="280"/>
      <c r="IL6" s="280"/>
      <c r="IM6" s="21"/>
      <c r="IN6" s="33" t="s">
        <v>188</v>
      </c>
      <c r="IO6" s="33" t="s">
        <v>89</v>
      </c>
      <c r="IP6" s="33" t="s">
        <v>189</v>
      </c>
      <c r="IQ6" s="33" t="s">
        <v>190</v>
      </c>
      <c r="IR6" s="33" t="s">
        <v>191</v>
      </c>
      <c r="IS6" s="33" t="s">
        <v>192</v>
      </c>
      <c r="IT6" s="33" t="s">
        <v>193</v>
      </c>
      <c r="IU6" s="33" t="s">
        <v>194</v>
      </c>
      <c r="IV6" s="33" t="s">
        <v>195</v>
      </c>
      <c r="IW6" s="33" t="s">
        <v>97</v>
      </c>
      <c r="IX6" s="33" t="s">
        <v>98</v>
      </c>
      <c r="IY6" s="33" t="s">
        <v>99</v>
      </c>
      <c r="IZ6" s="33" t="s">
        <v>100</v>
      </c>
      <c r="JA6" s="33" t="s">
        <v>196</v>
      </c>
      <c r="JB6" s="33" t="s">
        <v>197</v>
      </c>
      <c r="JC6" s="34" t="s">
        <v>188</v>
      </c>
      <c r="JD6" s="34" t="s">
        <v>198</v>
      </c>
      <c r="JE6" s="34" t="s">
        <v>199</v>
      </c>
      <c r="JF6" s="34" t="s">
        <v>200</v>
      </c>
      <c r="JG6" s="34" t="s">
        <v>201</v>
      </c>
      <c r="JH6" s="34" t="s">
        <v>202</v>
      </c>
      <c r="JI6" s="34" t="s">
        <v>203</v>
      </c>
      <c r="JJ6" s="34" t="s">
        <v>204</v>
      </c>
      <c r="JK6" s="34" t="s">
        <v>205</v>
      </c>
      <c r="JL6" s="34" t="s">
        <v>206</v>
      </c>
      <c r="JM6" s="34" t="s">
        <v>207</v>
      </c>
      <c r="JN6" s="34" t="s">
        <v>208</v>
      </c>
      <c r="JO6" s="35" t="s">
        <v>209</v>
      </c>
      <c r="JP6" s="35" t="s">
        <v>210</v>
      </c>
      <c r="JQ6" s="35" t="s">
        <v>197</v>
      </c>
      <c r="JR6" s="36">
        <v>32</v>
      </c>
      <c r="JS6" s="36">
        <v>33</v>
      </c>
      <c r="JT6" s="36">
        <v>34</v>
      </c>
      <c r="JU6" s="36">
        <v>35</v>
      </c>
      <c r="JV6" s="36">
        <v>36</v>
      </c>
      <c r="JW6" s="36">
        <v>37</v>
      </c>
      <c r="JX6" s="36">
        <v>38</v>
      </c>
      <c r="JY6" s="36">
        <v>39</v>
      </c>
      <c r="JZ6" s="36">
        <v>40</v>
      </c>
      <c r="KA6" s="36">
        <v>41</v>
      </c>
      <c r="KB6" s="36">
        <v>42</v>
      </c>
      <c r="KC6" s="36">
        <v>43</v>
      </c>
      <c r="KD6" s="36">
        <v>44</v>
      </c>
      <c r="KE6" s="36">
        <v>45</v>
      </c>
      <c r="KF6" s="36">
        <v>46</v>
      </c>
      <c r="KG6" s="36">
        <v>47</v>
      </c>
      <c r="KH6" s="36">
        <v>48</v>
      </c>
      <c r="KI6" s="36">
        <v>49</v>
      </c>
      <c r="KJ6" s="36">
        <v>50</v>
      </c>
      <c r="KK6" s="36">
        <v>51</v>
      </c>
      <c r="KL6" s="36">
        <v>52</v>
      </c>
      <c r="KM6" s="36">
        <v>53</v>
      </c>
      <c r="KN6" s="36">
        <v>55</v>
      </c>
      <c r="KO6" s="36">
        <v>56</v>
      </c>
      <c r="KP6" s="36">
        <v>57</v>
      </c>
      <c r="KQ6" s="36">
        <v>58</v>
      </c>
      <c r="KR6" s="36">
        <v>59</v>
      </c>
      <c r="KS6" s="36">
        <v>60</v>
      </c>
      <c r="KT6" s="36">
        <v>61</v>
      </c>
      <c r="KU6" s="36">
        <v>62</v>
      </c>
      <c r="KV6" s="36">
        <v>63</v>
      </c>
      <c r="KW6" s="36">
        <v>64</v>
      </c>
      <c r="KX6" s="36">
        <v>65</v>
      </c>
      <c r="KY6" s="36">
        <v>66</v>
      </c>
      <c r="KZ6" s="36">
        <v>67</v>
      </c>
      <c r="LA6" s="36">
        <v>68</v>
      </c>
      <c r="LB6" s="36">
        <v>69</v>
      </c>
      <c r="LC6" s="36">
        <v>70</v>
      </c>
      <c r="LD6" s="36">
        <v>71</v>
      </c>
      <c r="LE6" s="36">
        <v>72</v>
      </c>
      <c r="LF6" s="36">
        <v>73</v>
      </c>
      <c r="LG6" s="36">
        <v>74</v>
      </c>
      <c r="LH6" s="36">
        <v>75</v>
      </c>
      <c r="LI6" s="36">
        <v>76</v>
      </c>
      <c r="LJ6" s="36">
        <v>77</v>
      </c>
      <c r="LK6" s="36">
        <v>78</v>
      </c>
      <c r="LL6" s="36">
        <v>79</v>
      </c>
      <c r="LM6" s="205"/>
      <c r="LN6" s="193"/>
      <c r="LO6" s="194"/>
      <c r="LP6" s="195"/>
      <c r="LQ6" s="193"/>
      <c r="LR6" s="194"/>
      <c r="LS6" s="195"/>
      <c r="LT6" s="193"/>
      <c r="LU6" s="194"/>
      <c r="LV6" s="195"/>
      <c r="LW6" s="193"/>
      <c r="LX6" s="194"/>
      <c r="LY6" s="195"/>
      <c r="LZ6" s="193"/>
      <c r="MA6" s="194"/>
      <c r="MB6" s="195"/>
      <c r="MC6" s="193"/>
      <c r="MD6" s="194"/>
      <c r="ME6" s="195"/>
      <c r="MF6" s="193"/>
      <c r="MG6" s="194"/>
      <c r="MH6" s="195"/>
      <c r="MI6" s="193"/>
      <c r="MJ6" s="194"/>
      <c r="MK6" s="195"/>
      <c r="ML6" s="193"/>
      <c r="MM6" s="194"/>
      <c r="MN6" s="195"/>
      <c r="MO6" s="193"/>
      <c r="MP6" s="194"/>
      <c r="MQ6" s="195"/>
      <c r="MR6" s="193"/>
      <c r="MS6" s="194"/>
      <c r="MT6" s="195"/>
      <c r="MU6" s="193"/>
      <c r="MV6" s="194"/>
      <c r="MW6" s="195"/>
      <c r="MX6" s="193"/>
      <c r="MY6" s="194"/>
      <c r="MZ6" s="195"/>
      <c r="NA6" s="193"/>
      <c r="NB6" s="194"/>
      <c r="NC6" s="195"/>
      <c r="ND6" s="193"/>
      <c r="NE6" s="194"/>
      <c r="NF6" s="195"/>
    </row>
    <row r="7" spans="1:370" ht="34.15" customHeight="1" x14ac:dyDescent="0.45">
      <c r="A7" s="37" t="s">
        <v>211</v>
      </c>
      <c r="B7" s="37" t="s">
        <v>212</v>
      </c>
      <c r="C7" s="38"/>
      <c r="D7" s="38"/>
      <c r="E7" s="39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40"/>
      <c r="W7" s="40"/>
      <c r="X7" s="40"/>
      <c r="Y7" s="40"/>
      <c r="Z7" s="40"/>
      <c r="AA7" s="40"/>
      <c r="AB7" s="40"/>
      <c r="AC7" s="40"/>
      <c r="AD7" s="40"/>
      <c r="AE7" s="41"/>
      <c r="AF7" s="41"/>
      <c r="AG7" s="39"/>
      <c r="AH7" s="41"/>
      <c r="AI7" s="41"/>
      <c r="AJ7" s="40"/>
      <c r="AK7" s="40"/>
      <c r="AL7" s="41"/>
      <c r="AM7" s="41"/>
      <c r="AN7" s="42"/>
      <c r="AO7" s="42"/>
      <c r="AP7" s="43"/>
      <c r="AQ7" s="43"/>
      <c r="AR7" s="39"/>
      <c r="AS7" s="41"/>
      <c r="AT7" s="41"/>
      <c r="AU7" s="41"/>
      <c r="AV7" s="41"/>
      <c r="AW7" s="41"/>
      <c r="AX7" s="41"/>
      <c r="AY7" s="43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4"/>
      <c r="BT7" s="45"/>
      <c r="BU7" s="45"/>
      <c r="BV7" s="45"/>
      <c r="BW7" s="45"/>
      <c r="BX7" s="41"/>
      <c r="BY7" s="41"/>
      <c r="BZ7" s="41"/>
      <c r="CA7" s="41"/>
      <c r="CB7" s="41"/>
      <c r="CC7" s="44"/>
      <c r="CD7" s="45"/>
      <c r="CE7" s="45"/>
      <c r="CF7" s="41"/>
      <c r="CG7" s="41"/>
      <c r="CH7" s="41"/>
      <c r="CI7" s="41"/>
      <c r="CJ7" s="41"/>
      <c r="CK7" s="44"/>
      <c r="CL7" s="44"/>
      <c r="CM7" s="44"/>
      <c r="CN7" s="44"/>
      <c r="CO7" s="39"/>
      <c r="CP7" s="41"/>
      <c r="CQ7" s="41"/>
      <c r="CR7" s="41"/>
      <c r="CS7" s="41"/>
      <c r="CT7" s="41"/>
      <c r="CU7" s="44"/>
      <c r="CV7" s="41"/>
      <c r="CW7" s="44"/>
      <c r="CX7" s="44"/>
      <c r="CY7" s="44"/>
      <c r="CZ7" s="41"/>
      <c r="DA7" s="41"/>
      <c r="DB7" s="41"/>
      <c r="DC7" s="41"/>
      <c r="DD7" s="41"/>
      <c r="DE7" s="44"/>
      <c r="DF7" s="44"/>
      <c r="DG7" s="44"/>
      <c r="DH7" s="44"/>
      <c r="DI7" s="44"/>
      <c r="DJ7" s="41"/>
      <c r="DK7" s="41"/>
      <c r="DL7" s="41"/>
      <c r="DM7" s="41"/>
      <c r="DN7" s="41"/>
      <c r="DO7" s="44"/>
      <c r="DP7" s="41"/>
      <c r="DQ7" s="44"/>
      <c r="DR7" s="44"/>
      <c r="DS7" s="44"/>
      <c r="DT7" s="41"/>
      <c r="DU7" s="41"/>
      <c r="DV7" s="41"/>
      <c r="DW7" s="41"/>
      <c r="DX7" s="41"/>
      <c r="DY7" s="44"/>
      <c r="DZ7" s="44"/>
      <c r="EA7" s="44"/>
      <c r="EB7" s="41"/>
      <c r="EC7" s="44"/>
      <c r="ED7" s="41"/>
      <c r="EE7" s="41"/>
      <c r="EF7" s="41"/>
      <c r="EG7" s="41"/>
      <c r="EH7" s="41"/>
      <c r="EI7" s="44"/>
      <c r="EJ7" s="44"/>
      <c r="EK7" s="44"/>
      <c r="EL7" s="41"/>
      <c r="EM7" s="44"/>
      <c r="EN7" s="41"/>
      <c r="EO7" s="41"/>
      <c r="EP7" s="41"/>
      <c r="EQ7" s="41"/>
      <c r="ER7" s="41"/>
      <c r="ES7" s="44"/>
      <c r="ET7" s="44"/>
      <c r="EU7" s="41"/>
      <c r="EV7" s="44"/>
      <c r="EW7" s="44"/>
      <c r="EX7" s="41"/>
      <c r="EY7" s="41"/>
      <c r="EZ7" s="41"/>
      <c r="FA7" s="41"/>
      <c r="FB7" s="41"/>
      <c r="FC7" s="44"/>
      <c r="FD7" s="44"/>
      <c r="FE7" s="44"/>
      <c r="FF7" s="41"/>
      <c r="FG7" s="44"/>
      <c r="FH7" s="44"/>
      <c r="FI7" s="41"/>
      <c r="FJ7" s="41"/>
      <c r="FK7" s="41"/>
      <c r="FL7" s="41"/>
      <c r="FM7" s="41"/>
      <c r="FN7" s="44"/>
      <c r="FO7" s="44"/>
      <c r="FP7" s="44"/>
      <c r="FQ7" s="41"/>
      <c r="FR7" s="44"/>
      <c r="FS7" s="44"/>
      <c r="FT7" s="41"/>
      <c r="FU7" s="41"/>
      <c r="FV7" s="41"/>
      <c r="FW7" s="41"/>
      <c r="FX7" s="41"/>
      <c r="FY7" s="44"/>
      <c r="FZ7" s="44"/>
      <c r="GA7" s="44"/>
      <c r="GB7" s="41"/>
      <c r="GC7" s="44"/>
      <c r="GD7" s="44"/>
      <c r="GE7" s="44"/>
      <c r="GF7" s="45"/>
      <c r="GG7" s="46"/>
      <c r="GH7" s="45"/>
      <c r="GI7" s="45"/>
      <c r="GJ7" s="45"/>
      <c r="GK7" s="41"/>
      <c r="GL7" s="45"/>
      <c r="GM7" s="45"/>
      <c r="GN7" s="47"/>
      <c r="GO7" s="47"/>
      <c r="GP7" s="47"/>
      <c r="GQ7" s="48"/>
      <c r="GR7" s="49"/>
      <c r="GS7" s="49"/>
      <c r="GT7" s="49"/>
      <c r="GU7" s="48"/>
      <c r="GV7" s="48"/>
      <c r="GW7" s="48"/>
      <c r="GX7" s="48"/>
      <c r="GY7" s="50"/>
      <c r="GZ7" s="51"/>
      <c r="HA7" s="48"/>
      <c r="HB7" s="48"/>
      <c r="HC7" s="50"/>
      <c r="HD7" s="50"/>
      <c r="HE7" s="50"/>
      <c r="HF7" s="50"/>
      <c r="HG7" s="52"/>
      <c r="HH7" s="53"/>
      <c r="HI7" s="52"/>
      <c r="HJ7" s="53"/>
      <c r="HK7" s="52"/>
      <c r="HL7" s="50"/>
      <c r="HM7" s="50"/>
      <c r="HN7" s="50"/>
      <c r="HO7" s="54"/>
      <c r="HP7" s="54"/>
      <c r="HQ7" s="54"/>
      <c r="HR7" s="55"/>
      <c r="HS7" s="55"/>
      <c r="HT7" s="55"/>
      <c r="HU7" s="55"/>
      <c r="HV7" s="55"/>
      <c r="HW7" s="56"/>
      <c r="HX7" s="56"/>
      <c r="HY7" s="56"/>
      <c r="HZ7" s="57"/>
      <c r="IA7" s="57"/>
      <c r="IB7" s="57"/>
      <c r="IC7" s="58"/>
      <c r="ID7" s="59"/>
      <c r="IE7" s="60"/>
      <c r="IF7" s="60"/>
      <c r="IG7" s="60"/>
      <c r="IH7" s="60"/>
      <c r="II7" s="60"/>
      <c r="IJ7" s="60"/>
      <c r="IK7" s="60"/>
      <c r="IL7" s="60"/>
      <c r="IM7" s="61"/>
      <c r="IN7" s="61"/>
      <c r="IO7" s="61"/>
      <c r="IP7" s="62"/>
      <c r="IQ7" s="62"/>
      <c r="IR7" s="62"/>
      <c r="IS7" s="62"/>
      <c r="IT7" s="62"/>
      <c r="IU7" s="62"/>
      <c r="IV7" s="62"/>
      <c r="IW7" s="62"/>
      <c r="IX7" s="62"/>
      <c r="IY7" s="62"/>
      <c r="IZ7" s="62"/>
      <c r="JA7" s="62"/>
      <c r="JB7" s="62"/>
      <c r="JC7" s="61"/>
      <c r="JD7" s="61"/>
      <c r="JE7" s="62"/>
      <c r="JF7" s="62"/>
      <c r="JG7" s="62"/>
      <c r="JH7" s="62"/>
      <c r="JI7" s="62"/>
      <c r="JJ7" s="62"/>
      <c r="JK7" s="62"/>
      <c r="JL7" s="62"/>
      <c r="JM7" s="62"/>
      <c r="JN7" s="62"/>
      <c r="JO7" s="62"/>
      <c r="JP7" s="62"/>
      <c r="JQ7" s="62"/>
      <c r="LM7" s="205"/>
      <c r="LN7" s="196"/>
      <c r="LO7" s="197"/>
      <c r="LP7" s="198"/>
      <c r="LQ7" s="196"/>
      <c r="LR7" s="197"/>
      <c r="LS7" s="198"/>
      <c r="LT7" s="196"/>
      <c r="LU7" s="197"/>
      <c r="LV7" s="198"/>
      <c r="LW7" s="196"/>
      <c r="LX7" s="197"/>
      <c r="LY7" s="198"/>
      <c r="LZ7" s="196"/>
      <c r="MA7" s="197"/>
      <c r="MB7" s="198"/>
      <c r="MC7" s="196"/>
      <c r="MD7" s="197"/>
      <c r="ME7" s="198"/>
      <c r="MF7" s="196"/>
      <c r="MG7" s="197"/>
      <c r="MH7" s="198"/>
      <c r="MI7" s="196"/>
      <c r="MJ7" s="197"/>
      <c r="MK7" s="198"/>
      <c r="ML7" s="196"/>
      <c r="MM7" s="197"/>
      <c r="MN7" s="198"/>
      <c r="MO7" s="196"/>
      <c r="MP7" s="197"/>
      <c r="MQ7" s="198"/>
      <c r="MR7" s="196"/>
      <c r="MS7" s="197"/>
      <c r="MT7" s="198"/>
      <c r="MU7" s="196"/>
      <c r="MV7" s="197"/>
      <c r="MW7" s="198"/>
      <c r="MX7" s="196"/>
      <c r="MY7" s="197"/>
      <c r="MZ7" s="198"/>
      <c r="NA7" s="196"/>
      <c r="NB7" s="197"/>
      <c r="NC7" s="198"/>
      <c r="ND7" s="196"/>
      <c r="NE7" s="197"/>
      <c r="NF7" s="198"/>
    </row>
    <row r="8" spans="1:370" ht="14.1" customHeight="1" x14ac:dyDescent="0.45">
      <c r="A8" s="37" t="s">
        <v>213</v>
      </c>
      <c r="B8" s="37">
        <v>4</v>
      </c>
      <c r="C8" s="146" t="s">
        <v>214</v>
      </c>
      <c r="D8" t="s">
        <v>215</v>
      </c>
      <c r="E8" s="106" t="s">
        <v>216</v>
      </c>
      <c r="F8" s="106" t="s">
        <v>217</v>
      </c>
      <c r="G8" s="107" t="s">
        <v>218</v>
      </c>
      <c r="H8" s="96"/>
      <c r="I8" s="131" t="s">
        <v>219</v>
      </c>
      <c r="J8" s="96" t="s">
        <v>220</v>
      </c>
      <c r="K8" s="111"/>
      <c r="L8" s="108" t="s">
        <v>221</v>
      </c>
      <c r="M8" s="108" t="s">
        <v>221</v>
      </c>
      <c r="N8" s="108"/>
      <c r="O8" s="109" t="s">
        <v>221</v>
      </c>
      <c r="P8" s="108"/>
      <c r="Q8" s="108"/>
      <c r="R8" s="96"/>
      <c r="S8" s="108"/>
      <c r="T8" s="96"/>
      <c r="U8" s="111"/>
      <c r="V8" s="110">
        <v>43549</v>
      </c>
      <c r="W8" s="110" t="s">
        <v>222</v>
      </c>
      <c r="X8" s="110"/>
      <c r="Y8" s="110"/>
      <c r="Z8" s="110"/>
      <c r="AA8" s="127"/>
      <c r="AB8" s="96" t="s">
        <v>223</v>
      </c>
      <c r="AC8" s="96" t="s">
        <v>224</v>
      </c>
      <c r="AD8" s="96" t="s">
        <v>225</v>
      </c>
      <c r="AE8" s="96" t="s">
        <v>226</v>
      </c>
      <c r="AF8" s="96" t="s">
        <v>227</v>
      </c>
      <c r="AG8" s="96" t="s">
        <v>228</v>
      </c>
      <c r="AH8" s="96" t="s">
        <v>229</v>
      </c>
      <c r="AI8" s="96" t="s">
        <v>230</v>
      </c>
      <c r="AJ8" s="96">
        <v>60015</v>
      </c>
      <c r="AK8" s="111"/>
      <c r="AL8" s="71">
        <f t="shared" ref="AL8:AL9" si="0">IFERROR(DATEDIF(AN8,V8,"y"),"")</f>
        <v>16</v>
      </c>
      <c r="AM8" s="71">
        <f ca="1">IFERROR(DATEDIF($AN8,TODAY(),"y"),"")</f>
        <v>18</v>
      </c>
      <c r="AN8" s="110">
        <v>37687</v>
      </c>
      <c r="AO8" s="72">
        <f t="shared" ref="AO8:AO9" ca="1" si="1">IFERROR(DATEDIF(TODAY(),EDATE(AN8,(12*21)),"m"),"")</f>
        <v>25</v>
      </c>
      <c r="AP8" s="110" t="s">
        <v>231</v>
      </c>
      <c r="AQ8" s="113" t="s">
        <v>232</v>
      </c>
      <c r="AR8" s="107" t="s">
        <v>233</v>
      </c>
      <c r="AS8" s="96">
        <v>1</v>
      </c>
      <c r="AT8" s="96">
        <v>90</v>
      </c>
      <c r="AU8" s="96">
        <v>15</v>
      </c>
      <c r="AV8" s="96">
        <v>2</v>
      </c>
      <c r="AW8" s="96">
        <v>7</v>
      </c>
      <c r="AX8" s="96" t="s">
        <v>234</v>
      </c>
      <c r="AY8" s="96" t="s">
        <v>235</v>
      </c>
      <c r="AZ8" s="96" t="s">
        <v>235</v>
      </c>
      <c r="BA8" s="96" t="s">
        <v>235</v>
      </c>
      <c r="BB8" s="96"/>
      <c r="BC8" s="114"/>
      <c r="BD8" s="112"/>
      <c r="BE8" s="71">
        <f t="shared" ref="BE8:BF9" si="2">IFERROR(COUNTIF(CI8,"&gt;0")+COUNTIF(CS8,"&gt;0")+COUNTIF(DC8,"&gt;0")+COUNTIF(DM8,"&gt;0")+COUNTIF(DW8,"&gt;0")+COUNTIF(EG8,"&gt;0")," ")</f>
        <v>6</v>
      </c>
      <c r="BF8" s="71">
        <f t="shared" si="2"/>
        <v>6</v>
      </c>
      <c r="BG8" s="71">
        <f t="shared" ref="BG8:BG9" si="3">IFERROR(COUNTIF(CK8,"&lt;49.5%")+COUNTIF(CU8,"&lt;49.5%")+COUNTIF(DE8,"&lt;49.5%")+COUNTIF(DO8,"&lt;49.5%")+COUNTIF(DY8,"&lt;49.5%")+COUNTIF(EI8,"&lt;49.5%")," ")</f>
        <v>0</v>
      </c>
      <c r="BH8" s="74">
        <f t="shared" ref="BH8:BH9" si="4">IFERROR(AVERAGE(CK8,CU8,DE8,DO8,DY8,EI8)," ")</f>
        <v>1</v>
      </c>
      <c r="BI8" s="75">
        <f t="shared" ref="BI8:BI9" si="5">IFERROR(BG8/BE8," ")</f>
        <v>0</v>
      </c>
      <c r="BJ8" s="71">
        <f t="shared" ref="BJ8:BJ9" si="6">IFERROR(COUNTIF(CN8,"&gt;0")+COUNTIF(CW8,"&gt;0")+COUNTIF(DH8,"&gt;0")+COUNTIF(DR8,"&gt;0")+COUNTIF(EB8,"&gt;0")+COUNTIF(EL8,"&gt;0")," ")</f>
        <v>6</v>
      </c>
      <c r="BK8" s="75">
        <f t="shared" ref="BK8:BK9" si="7">IFERROR(BJ8/BE8," ")</f>
        <v>1</v>
      </c>
      <c r="BL8" s="76">
        <f t="shared" ref="BL8:BM9" si="8">IFERROR(SUM(BV8,CD8,CN8,CW8,DH8,DR8,EB8,EL8),"")</f>
        <v>186</v>
      </c>
      <c r="BM8" s="77">
        <f t="shared" si="8"/>
        <v>1711</v>
      </c>
      <c r="BN8" s="114"/>
      <c r="BO8" s="110"/>
      <c r="BP8" s="110"/>
      <c r="BQ8" s="115">
        <v>18</v>
      </c>
      <c r="BR8" s="115">
        <v>18</v>
      </c>
      <c r="BS8" s="74">
        <f t="shared" ref="BS8:BS9" si="9">IFERROR(BR8/BQ8," ")</f>
        <v>1</v>
      </c>
      <c r="BT8" s="79">
        <v>30</v>
      </c>
      <c r="BU8" s="79">
        <v>30</v>
      </c>
      <c r="BV8" s="80">
        <v>60</v>
      </c>
      <c r="BW8" s="81">
        <v>780</v>
      </c>
      <c r="BX8" s="116"/>
      <c r="BY8" s="117"/>
      <c r="BZ8" s="117"/>
      <c r="CA8" s="128">
        <v>7</v>
      </c>
      <c r="CB8" s="128">
        <v>7</v>
      </c>
      <c r="CC8" s="74">
        <f t="shared" ref="CC8:CC9" si="10">IFERROR(CB8/CA8," ")</f>
        <v>1</v>
      </c>
      <c r="CD8" s="79">
        <v>30</v>
      </c>
      <c r="CE8" s="81">
        <v>390</v>
      </c>
      <c r="CF8" s="119"/>
      <c r="CG8" s="119"/>
      <c r="CH8" s="119"/>
      <c r="CI8" s="114">
        <v>18</v>
      </c>
      <c r="CJ8" s="114">
        <v>18</v>
      </c>
      <c r="CK8" s="74">
        <f t="shared" ref="CK8:CK9" si="11">IFERROR(CJ8/CI8," ")</f>
        <v>1</v>
      </c>
      <c r="CL8" s="79">
        <v>2</v>
      </c>
      <c r="CM8" s="79">
        <v>0</v>
      </c>
      <c r="CN8" s="86">
        <v>2</v>
      </c>
      <c r="CO8" s="81">
        <v>12</v>
      </c>
      <c r="CP8" s="120"/>
      <c r="CQ8" s="121"/>
      <c r="CR8" s="121"/>
      <c r="CS8" s="116">
        <v>22</v>
      </c>
      <c r="CT8" s="116">
        <v>22</v>
      </c>
      <c r="CU8" s="74">
        <f t="shared" ref="CU8:CU9" si="12">IFERROR(CT8/CS8," ")</f>
        <v>1</v>
      </c>
      <c r="CV8" s="79">
        <v>10</v>
      </c>
      <c r="CW8" s="79">
        <v>9</v>
      </c>
      <c r="CX8" s="88">
        <v>19</v>
      </c>
      <c r="CY8" s="81">
        <v>114</v>
      </c>
      <c r="CZ8" s="122"/>
      <c r="DA8" s="108"/>
      <c r="DB8" s="108"/>
      <c r="DC8" s="114">
        <v>15</v>
      </c>
      <c r="DD8" s="114">
        <v>15</v>
      </c>
      <c r="DE8" s="74">
        <f t="shared" ref="DE8:DE9" si="13">IFERROR(DD8/DC8," ")</f>
        <v>1</v>
      </c>
      <c r="DF8" s="79">
        <v>6</v>
      </c>
      <c r="DG8" s="79">
        <v>7</v>
      </c>
      <c r="DH8" s="79">
        <v>13</v>
      </c>
      <c r="DI8" s="81">
        <v>78</v>
      </c>
      <c r="DJ8" s="120"/>
      <c r="DK8" s="121"/>
      <c r="DL8" s="121"/>
      <c r="DM8" s="116">
        <v>15</v>
      </c>
      <c r="DN8" s="116">
        <v>15</v>
      </c>
      <c r="DO8" s="74">
        <f t="shared" ref="DO8:DO9" si="14">IFERROR(DN8/DM8," ")</f>
        <v>1</v>
      </c>
      <c r="DP8" s="79">
        <v>12</v>
      </c>
      <c r="DQ8" s="79">
        <v>8</v>
      </c>
      <c r="DR8" s="79">
        <v>20</v>
      </c>
      <c r="DS8" s="81">
        <v>120</v>
      </c>
      <c r="DT8" s="122"/>
      <c r="DU8" s="108"/>
      <c r="DV8" s="108"/>
      <c r="DW8" s="114">
        <v>17</v>
      </c>
      <c r="DX8" s="114">
        <v>17</v>
      </c>
      <c r="DY8" s="74">
        <f t="shared" ref="DY8:DY9" si="15">IFERROR(DX8/DW8," ")</f>
        <v>1</v>
      </c>
      <c r="DZ8" s="90">
        <v>13</v>
      </c>
      <c r="EA8" s="90">
        <v>13</v>
      </c>
      <c r="EB8" s="90">
        <v>26</v>
      </c>
      <c r="EC8" s="91">
        <v>156</v>
      </c>
      <c r="ED8" s="120"/>
      <c r="EE8" s="121"/>
      <c r="EF8" s="121"/>
      <c r="EG8" s="116">
        <v>17</v>
      </c>
      <c r="EH8" s="116">
        <v>17</v>
      </c>
      <c r="EI8" s="74">
        <f t="shared" ref="EI8:EI9" si="16">IFERROR(EH8/EG8," ")</f>
        <v>1</v>
      </c>
      <c r="EJ8" s="92">
        <v>13</v>
      </c>
      <c r="EK8" s="92">
        <v>13</v>
      </c>
      <c r="EL8" s="92">
        <v>26</v>
      </c>
      <c r="EM8" s="93">
        <v>156</v>
      </c>
      <c r="EN8" s="122"/>
      <c r="EO8" s="108"/>
      <c r="EP8" s="108"/>
      <c r="EQ8" s="114">
        <v>10</v>
      </c>
      <c r="ER8" s="114">
        <v>10</v>
      </c>
      <c r="ES8" s="74">
        <f t="shared" ref="ES8:ES9" si="17">IFERROR(ER8/EQ8," ")</f>
        <v>1</v>
      </c>
      <c r="ET8" s="94">
        <v>13</v>
      </c>
      <c r="EU8" s="90"/>
      <c r="EV8" s="94">
        <v>13</v>
      </c>
      <c r="EW8" s="95">
        <v>78</v>
      </c>
      <c r="EX8" s="120"/>
      <c r="EY8" s="121"/>
      <c r="EZ8" s="121"/>
      <c r="FA8" s="116"/>
      <c r="FB8" s="116"/>
      <c r="FC8" s="74" t="str">
        <f t="shared" ref="FC8:FC9" si="18">IFERROR(FB8/FA8," ")</f>
        <v xml:space="preserve"> </v>
      </c>
      <c r="FD8" s="123"/>
      <c r="FE8" s="123"/>
      <c r="FF8" s="123"/>
      <c r="FG8" s="123"/>
      <c r="FH8" s="76">
        <f t="shared" ref="FH8:FH9" si="19">SUM(FD8:FG8)</f>
        <v>0</v>
      </c>
      <c r="FI8" s="122"/>
      <c r="FJ8" s="108"/>
      <c r="FK8" s="108"/>
      <c r="FL8" s="114"/>
      <c r="FM8" s="114"/>
      <c r="FN8" s="74" t="str">
        <f t="shared" ref="FN8:FN9" si="20">IFERROR(FM8/FL8," ")</f>
        <v xml:space="preserve"> </v>
      </c>
      <c r="FO8" s="90"/>
      <c r="FP8" s="90"/>
      <c r="FQ8" s="90"/>
      <c r="FR8" s="90"/>
      <c r="FS8" s="76">
        <f t="shared" ref="FS8:FS9" si="21">SUM(FO8:FR8)</f>
        <v>0</v>
      </c>
      <c r="FT8" s="120"/>
      <c r="FU8" s="121"/>
      <c r="FV8" s="121"/>
      <c r="FW8" s="116"/>
      <c r="FX8" s="116"/>
      <c r="FY8" s="74" t="str">
        <f t="shared" ref="FY8:FY9" si="22">IFERROR(FX8/FW8," ")</f>
        <v xml:space="preserve"> </v>
      </c>
      <c r="FZ8" s="123"/>
      <c r="GA8" s="123"/>
      <c r="GB8" s="123"/>
      <c r="GC8" s="123"/>
      <c r="GD8" s="76">
        <f t="shared" ref="GD8:GD9" si="23">SUM(FZ8:GC8)</f>
        <v>0</v>
      </c>
      <c r="GE8" s="129"/>
      <c r="GF8" s="96">
        <v>12</v>
      </c>
      <c r="GG8" s="96" t="s">
        <v>236</v>
      </c>
      <c r="GH8" s="79"/>
      <c r="GI8" s="63">
        <v>3.25</v>
      </c>
      <c r="GJ8" s="63">
        <v>2.75</v>
      </c>
      <c r="GK8" s="97">
        <f t="shared" ref="GK8:GK26" si="24">IFERROR(SUM(GH8:GJ8)," ")</f>
        <v>6</v>
      </c>
      <c r="GL8" s="63">
        <v>1</v>
      </c>
      <c r="GM8" s="79"/>
      <c r="GN8" s="97">
        <f t="shared" ref="GN8" si="25">IFERROR(SUM(GL8:GM8)," ")</f>
        <v>1</v>
      </c>
      <c r="GO8" s="97">
        <f t="shared" ref="GO8:GO9" si="26">IFERROR(GF8+GK8+GN8," ")</f>
        <v>19</v>
      </c>
      <c r="GP8" s="130"/>
      <c r="GQ8" s="96" t="s">
        <v>213</v>
      </c>
      <c r="GR8" s="96" t="s">
        <v>213</v>
      </c>
      <c r="GS8" s="96" t="s">
        <v>213</v>
      </c>
      <c r="GT8" s="96" t="s">
        <v>213</v>
      </c>
      <c r="GU8" s="96" t="s">
        <v>213</v>
      </c>
      <c r="GV8" s="96" t="s">
        <v>237</v>
      </c>
      <c r="GW8" s="96" t="s">
        <v>213</v>
      </c>
      <c r="GX8" s="96" t="s">
        <v>238</v>
      </c>
      <c r="GY8" s="65" t="str">
        <f>IFERROR(IF(IN8&gt;0,"X",""),"")</f>
        <v>X</v>
      </c>
      <c r="GZ8" s="65" t="str">
        <f>IFERROR(IF(JC8&gt;0,"X",""),"")</f>
        <v>X</v>
      </c>
      <c r="HA8" s="100" t="s">
        <v>213</v>
      </c>
      <c r="HB8" s="100" t="s">
        <v>237</v>
      </c>
      <c r="HC8" s="100">
        <v>0</v>
      </c>
      <c r="HD8" s="100">
        <v>0</v>
      </c>
      <c r="HE8" s="100">
        <v>0</v>
      </c>
      <c r="HF8" s="100" t="s">
        <v>213</v>
      </c>
      <c r="HG8" s="100" t="s">
        <v>213</v>
      </c>
      <c r="HH8" s="100">
        <v>0</v>
      </c>
      <c r="HI8" s="100">
        <v>0</v>
      </c>
      <c r="HJ8" s="100">
        <v>0</v>
      </c>
      <c r="HK8" s="100">
        <v>0</v>
      </c>
      <c r="HL8" s="65" t="str">
        <f>IFERROR(IF(OR(IQ8&gt;0,IR8&gt;0,IS8&gt;0),"x",""),"")</f>
        <v>x</v>
      </c>
      <c r="HM8" s="65" t="str">
        <f t="shared" ref="HM8:HM9" si="27">IFERROR(IF(OR(IT8&gt;0,IU8&gt;0,IV8&gt;0),"x",""),"")</f>
        <v/>
      </c>
      <c r="HN8" s="65" t="s">
        <v>239</v>
      </c>
      <c r="HO8" s="65" t="str">
        <f>IFERROR(IF(OR(JE8&gt;0,JF8&gt;0,JG8&gt;0,JH8&gt;0),"x",""),"")</f>
        <v>x</v>
      </c>
      <c r="HP8" s="65" t="str">
        <f>IFERROR(IF(OR(JI8&gt;0,JJ8&gt;0,JK8&gt;0),"x",""),"")</f>
        <v>x</v>
      </c>
      <c r="HQ8" s="99" t="s">
        <v>239</v>
      </c>
      <c r="HR8" s="96"/>
      <c r="HS8" s="124" t="s">
        <v>213</v>
      </c>
      <c r="HT8" s="96"/>
      <c r="HU8" s="96" t="s">
        <v>213</v>
      </c>
      <c r="HV8" s="96"/>
      <c r="HW8" s="96"/>
      <c r="HX8" s="96" t="s">
        <v>213</v>
      </c>
      <c r="HY8" s="96"/>
      <c r="HZ8" s="96" t="s">
        <v>213</v>
      </c>
      <c r="IA8" s="96" t="s">
        <v>237</v>
      </c>
      <c r="IB8" s="96"/>
      <c r="IC8" s="96" t="s">
        <v>213</v>
      </c>
      <c r="ID8" s="96" t="s">
        <v>240</v>
      </c>
      <c r="IE8" s="100" t="s">
        <v>213</v>
      </c>
      <c r="IF8" s="100" t="s">
        <v>213</v>
      </c>
      <c r="IG8" s="100" t="s">
        <v>213</v>
      </c>
      <c r="IH8" s="100" t="s">
        <v>213</v>
      </c>
      <c r="II8" s="100" t="s">
        <v>213</v>
      </c>
      <c r="IJ8" s="100" t="s">
        <v>213</v>
      </c>
      <c r="IK8" s="100" t="s">
        <v>213</v>
      </c>
      <c r="IL8" s="100" t="s">
        <v>213</v>
      </c>
      <c r="IM8" s="111"/>
      <c r="IN8" s="125">
        <v>12</v>
      </c>
      <c r="IO8" s="125"/>
      <c r="IP8" s="96"/>
      <c r="IQ8" s="96">
        <v>12</v>
      </c>
      <c r="IR8" s="96"/>
      <c r="IS8" s="96"/>
      <c r="IT8" s="96"/>
      <c r="IU8" s="96"/>
      <c r="IV8" s="96"/>
      <c r="IW8" s="96"/>
      <c r="IX8" s="96"/>
      <c r="IY8" s="96"/>
      <c r="IZ8" s="96"/>
      <c r="JA8" s="65">
        <f t="shared" ref="JA8:JA9" si="28">COUNTIF(IO8:IZ8,"&gt;=0.0")</f>
        <v>1</v>
      </c>
      <c r="JB8" s="96"/>
      <c r="JC8" s="125">
        <v>8.5</v>
      </c>
      <c r="JD8" s="125"/>
      <c r="JE8" s="96"/>
      <c r="JF8" s="96">
        <v>7.3</v>
      </c>
      <c r="JG8" s="96"/>
      <c r="JH8" s="96"/>
      <c r="JI8" s="96"/>
      <c r="JJ8" s="96" t="s">
        <v>237</v>
      </c>
      <c r="JK8" s="96"/>
      <c r="JL8" s="96"/>
      <c r="JM8" s="96"/>
      <c r="JN8" s="96"/>
      <c r="JO8" s="96"/>
      <c r="JP8" s="65">
        <f t="shared" ref="JP8:JP44" si="29">COUNTIF(JD8:JO8,"&gt;=0.0")</f>
        <v>1</v>
      </c>
      <c r="JQ8" s="63"/>
      <c r="LM8" s="205"/>
      <c r="LN8" s="102">
        <f>IFERROR(ROWS($IL$8:IL8)," ")</f>
        <v>1</v>
      </c>
      <c r="LO8" s="103">
        <f>IFERROR(IF([1]Checklist!$C$3='GenInfo (2)'!E8,'GenInfo (2)'!LN8," ")," ")</f>
        <v>1</v>
      </c>
      <c r="LP8" s="104">
        <f>IFERROR(SMALL($LO$8:$LO$94,ROWS($IL$8:IL8))," ")</f>
        <v>1</v>
      </c>
      <c r="LQ8" s="102">
        <f>IFERROR(ROWS($IL$8:IL8)," ")</f>
        <v>1</v>
      </c>
      <c r="LR8" s="103" t="str">
        <f>IFERROR(IF([1]Checklist!$C$4='GenInfo (2)'!E8,'GenInfo (2)'!LQ8," ")," ")</f>
        <v xml:space="preserve"> </v>
      </c>
      <c r="LS8" s="104">
        <f>IFERROR(SMALL($LR$8:$LR$94,ROWS($IL$8:IL8))," ")</f>
        <v>5</v>
      </c>
      <c r="LT8" s="102">
        <f>IFERROR(ROWS($IL$8:IL8)," ")</f>
        <v>1</v>
      </c>
      <c r="LU8" s="103" t="str">
        <f>IFERROR(IF([1]Checklist!$C$5='GenInfo (2)'!E8,'GenInfo (2)'!LT8," ")," ")</f>
        <v xml:space="preserve"> </v>
      </c>
      <c r="LV8" s="104">
        <f>IFERROR(SMALL($LU$8:$LU$94,ROWS($IL$8:IL8))," ")</f>
        <v>8</v>
      </c>
      <c r="LW8" s="102">
        <f>IFERROR(ROWS($IL$8:IL8)," ")</f>
        <v>1</v>
      </c>
      <c r="LX8" s="103" t="str">
        <f>IFERROR(IF([1]Checklist!$C$6='GenInfo (2)'!E8,'GenInfo (2)'!LW8," ")," ")</f>
        <v xml:space="preserve"> </v>
      </c>
      <c r="LY8" s="104">
        <f>IFERROR(SMALL($LX$8:$LX$94,ROWS($IL$8:IL8))," ")</f>
        <v>10</v>
      </c>
      <c r="LZ8" s="102">
        <f>IFERROR(ROWS($IL$8:IL8)," ")</f>
        <v>1</v>
      </c>
      <c r="MA8" s="103" t="str">
        <f>IFERROR(IF([1]Checklist!$C$7='GenInfo (2)'!E8,'GenInfo (2)'!LZ8," ")," ")</f>
        <v xml:space="preserve"> </v>
      </c>
      <c r="MB8" s="104">
        <f>IFERROR(SMALL($MA$8:$MA$94,ROWS($IL$8:IL8))," ")</f>
        <v>13</v>
      </c>
      <c r="MC8" s="102">
        <f>IFERROR(ROWS($IL$8:IL8)," ")</f>
        <v>1</v>
      </c>
      <c r="MD8" s="103" t="str">
        <f>IFERROR(IF([1]Checklist!$C$8='GenInfo (2)'!E8,'GenInfo (2)'!MC8," ")," ")</f>
        <v xml:space="preserve"> </v>
      </c>
      <c r="ME8" s="104">
        <f>IFERROR(SMALL($MD$8:$MD$94,ROWS($IL$8:IL8))," ")</f>
        <v>17</v>
      </c>
      <c r="MF8" s="102">
        <f>IFERROR(ROWS($IL$8:IL8)," ")</f>
        <v>1</v>
      </c>
      <c r="MG8" s="103" t="str">
        <f>IFERROR(IF([1]Checklist!$C$9='GenInfo (2)'!E8,'GenInfo (2)'!MF8," ")," ")</f>
        <v xml:space="preserve"> </v>
      </c>
      <c r="MH8" s="104">
        <f>IFERROR(SMALL($MG$8:$MG$94,ROWS($IL$8:IL8))," ")</f>
        <v>18</v>
      </c>
      <c r="MI8" s="102">
        <f>IFERROR(ROWS($IL$8:$IL8)," ")</f>
        <v>1</v>
      </c>
      <c r="MJ8" s="103" t="str">
        <f>IFERROR(IF([1]Checklist!$C$10='GenInfo (2)'!E8,'GenInfo (2)'!MI8," ")," ")</f>
        <v xml:space="preserve"> </v>
      </c>
      <c r="MK8" s="104">
        <f>IFERROR(SMALL($MJ$8:$MJ$94,ROWS($IL$8:IL8))," ")</f>
        <v>21</v>
      </c>
      <c r="ML8" s="102">
        <f>IFERROR(ROWS($IL$8:IL8)," ")</f>
        <v>1</v>
      </c>
      <c r="MM8" s="103" t="str">
        <f>IFERROR(IF([1]Checklist!$C$11='GenInfo (2)'!E8,'GenInfo (2)'!ML8," ")," ")</f>
        <v xml:space="preserve"> </v>
      </c>
      <c r="MN8" s="104">
        <f>IFERROR(SMALL($MM$8:$MM$94,ROWS($IL$8:IL8))," ")</f>
        <v>23</v>
      </c>
      <c r="MO8" s="102">
        <f>IFERROR(ROWS($IL$8:IL8)," ")</f>
        <v>1</v>
      </c>
      <c r="MP8" s="103" t="str">
        <f>IFERROR(IF([1]Checklist!$C$12='GenInfo (2)'!E8,'GenInfo (2)'!MO8," ")," ")</f>
        <v xml:space="preserve"> </v>
      </c>
      <c r="MQ8" s="104">
        <f>IFERROR(SMALL($MP$8:$MP$94,ROWS($IL$8:IL8))," ")</f>
        <v>26</v>
      </c>
      <c r="MR8" s="102">
        <f>IFERROR(ROWS($IL$8:IL8)," ")</f>
        <v>1</v>
      </c>
      <c r="MS8" s="103" t="str">
        <f>IFERROR(IF([1]Checklist!$C$13='GenInfo (2)'!E8,'GenInfo (2)'!MR8," ")," ")</f>
        <v xml:space="preserve"> </v>
      </c>
      <c r="MT8" s="104">
        <f>IFERROR(SMALL($MS$8:$MS$94,ROWS($IL$8:IL8))," ")</f>
        <v>27</v>
      </c>
      <c r="MU8" s="102">
        <f>IFERROR(ROWS($IL$8:IL8)," ")</f>
        <v>1</v>
      </c>
      <c r="MV8" s="103" t="str">
        <f>IFERROR(IF([1]Checklist!$C$14='GenInfo (2)'!E8,'GenInfo (2)'!MU8," ")," ")</f>
        <v xml:space="preserve"> </v>
      </c>
      <c r="MW8" s="104">
        <f>IFERROR(SMALL($MV$8:$MV$94,ROWS($IL$8:IL8))," ")</f>
        <v>31</v>
      </c>
      <c r="MX8" s="102">
        <f>IFERROR(ROWS($IL$8:IL8)," ")</f>
        <v>1</v>
      </c>
      <c r="MY8" s="103" t="str">
        <f>IFERROR(IF([1]Checklist!$C$15='GenInfo (2)'!E8,'GenInfo (2)'!MX8," ")," ")</f>
        <v xml:space="preserve"> </v>
      </c>
      <c r="MZ8" s="104">
        <f>IFERROR(SMALL($MY$8:$MY$94,ROWS($IL$8:IL8))," ")</f>
        <v>34</v>
      </c>
      <c r="NA8" s="102">
        <f>IFERROR(ROWS($IL$8:IL8)," ")</f>
        <v>1</v>
      </c>
      <c r="NB8" s="103" t="str">
        <f>IFERROR(IF([1]Checklist!$C$16='GenInfo (2)'!E8,'GenInfo (2)'!NA8," ")," ")</f>
        <v xml:space="preserve"> </v>
      </c>
      <c r="NC8" s="104">
        <f>IFERROR(SMALL($NB$8:$NB$94,ROWS($IL$8:IL8))," ")</f>
        <v>42</v>
      </c>
      <c r="ND8" s="102">
        <f>IFERROR(ROWS($IL$8:IL8)," ")</f>
        <v>1</v>
      </c>
      <c r="NE8" s="103" t="str">
        <f>IFERROR(IF([1]Checklist!$C$17='GenInfo (2)'!E8,'GenInfo (2)'!ND8," ")," ")</f>
        <v xml:space="preserve"> </v>
      </c>
      <c r="NF8" s="104">
        <f>IFERROR(SMALL($NE$8:$NE$94,ROWS($IL$8:IL8))," ")</f>
        <v>46</v>
      </c>
    </row>
    <row r="9" spans="1:370" ht="14.25" x14ac:dyDescent="0.45">
      <c r="A9" s="37" t="s">
        <v>213</v>
      </c>
      <c r="B9" s="37">
        <v>14</v>
      </c>
      <c r="C9" s="146" t="s">
        <v>241</v>
      </c>
      <c r="D9" t="s">
        <v>242</v>
      </c>
      <c r="E9" s="106" t="s">
        <v>216</v>
      </c>
      <c r="F9" s="96" t="s">
        <v>243</v>
      </c>
      <c r="G9" s="107" t="s">
        <v>218</v>
      </c>
      <c r="H9" s="96"/>
      <c r="I9" s="132" t="s">
        <v>244</v>
      </c>
      <c r="J9" s="96" t="s">
        <v>245</v>
      </c>
      <c r="K9" s="111"/>
      <c r="L9" s="108" t="s">
        <v>221</v>
      </c>
      <c r="M9" s="108" t="s">
        <v>221</v>
      </c>
      <c r="N9" s="108"/>
      <c r="O9" s="109" t="s">
        <v>221</v>
      </c>
      <c r="P9" s="108"/>
      <c r="Q9" s="108"/>
      <c r="R9" s="96"/>
      <c r="S9" s="108"/>
      <c r="T9" s="96"/>
      <c r="U9" s="111"/>
      <c r="V9" s="108">
        <v>43159</v>
      </c>
      <c r="W9" s="108" t="s">
        <v>222</v>
      </c>
      <c r="X9" s="110"/>
      <c r="Y9" s="108"/>
      <c r="Z9" s="110"/>
      <c r="AA9" s="133"/>
      <c r="AB9" s="96" t="s">
        <v>246</v>
      </c>
      <c r="AC9" s="96" t="s">
        <v>247</v>
      </c>
      <c r="AD9" s="96" t="s">
        <v>248</v>
      </c>
      <c r="AE9" s="96" t="s">
        <v>249</v>
      </c>
      <c r="AF9" s="96" t="s">
        <v>250</v>
      </c>
      <c r="AG9" s="96"/>
      <c r="AH9" s="96" t="s">
        <v>251</v>
      </c>
      <c r="AI9" s="96" t="s">
        <v>230</v>
      </c>
      <c r="AJ9" s="96">
        <v>60652</v>
      </c>
      <c r="AK9" s="111"/>
      <c r="AL9" s="71">
        <f t="shared" si="0"/>
        <v>18</v>
      </c>
      <c r="AM9" s="71">
        <f ca="1">IFERROR(DATEDIF($AN9,TODAY(),"y"),"")</f>
        <v>22</v>
      </c>
      <c r="AN9" s="108">
        <v>36493</v>
      </c>
      <c r="AO9" s="72" t="str">
        <f t="shared" ca="1" si="1"/>
        <v/>
      </c>
      <c r="AP9" s="96" t="s">
        <v>231</v>
      </c>
      <c r="AQ9" s="113" t="s">
        <v>252</v>
      </c>
      <c r="AR9" s="107" t="s">
        <v>233</v>
      </c>
      <c r="AS9" s="96">
        <v>1</v>
      </c>
      <c r="AT9" s="96"/>
      <c r="AU9" s="96">
        <v>16</v>
      </c>
      <c r="AV9" s="96">
        <v>2</v>
      </c>
      <c r="AW9" s="96">
        <v>730</v>
      </c>
      <c r="AX9" s="96" t="s">
        <v>253</v>
      </c>
      <c r="AY9" s="96" t="s">
        <v>235</v>
      </c>
      <c r="AZ9" s="96" t="s">
        <v>235</v>
      </c>
      <c r="BA9" s="96" t="s">
        <v>254</v>
      </c>
      <c r="BB9" s="96"/>
      <c r="BC9" s="114"/>
      <c r="BD9" s="112"/>
      <c r="BE9" s="71">
        <f t="shared" si="2"/>
        <v>6</v>
      </c>
      <c r="BF9" s="71">
        <f t="shared" si="2"/>
        <v>4</v>
      </c>
      <c r="BG9" s="71">
        <f t="shared" si="3"/>
        <v>4</v>
      </c>
      <c r="BH9" s="74">
        <f t="shared" si="4"/>
        <v>0.35534188034188036</v>
      </c>
      <c r="BI9" s="75">
        <f t="shared" si="5"/>
        <v>0.66666666666666663</v>
      </c>
      <c r="BJ9" s="71">
        <f t="shared" si="6"/>
        <v>3</v>
      </c>
      <c r="BK9" s="75">
        <f t="shared" si="7"/>
        <v>0.5</v>
      </c>
      <c r="BL9" s="76">
        <f t="shared" si="8"/>
        <v>8</v>
      </c>
      <c r="BM9" s="77">
        <f t="shared" si="8"/>
        <v>41</v>
      </c>
      <c r="BN9" s="114"/>
      <c r="BO9" s="110"/>
      <c r="BP9" s="110"/>
      <c r="BQ9" s="115">
        <v>18</v>
      </c>
      <c r="BR9" s="115">
        <v>9</v>
      </c>
      <c r="BS9" s="74">
        <f t="shared" si="9"/>
        <v>0.5</v>
      </c>
      <c r="BT9" s="79">
        <v>0</v>
      </c>
      <c r="BU9" s="79">
        <v>0</v>
      </c>
      <c r="BV9" s="80">
        <v>0</v>
      </c>
      <c r="BW9" s="81">
        <v>0</v>
      </c>
      <c r="BX9" s="116"/>
      <c r="BY9" s="117"/>
      <c r="BZ9" s="117"/>
      <c r="CA9" s="134">
        <v>7</v>
      </c>
      <c r="CB9" s="134">
        <v>5</v>
      </c>
      <c r="CC9" s="74">
        <f t="shared" si="10"/>
        <v>0.7142857142857143</v>
      </c>
      <c r="CD9" s="79">
        <v>0</v>
      </c>
      <c r="CE9" s="81">
        <v>0</v>
      </c>
      <c r="CF9" s="119"/>
      <c r="CG9" s="119"/>
      <c r="CH9" s="119"/>
      <c r="CI9" s="114">
        <v>13</v>
      </c>
      <c r="CJ9" s="114">
        <v>8</v>
      </c>
      <c r="CK9" s="74">
        <f t="shared" si="11"/>
        <v>0.61538461538461542</v>
      </c>
      <c r="CL9" s="79">
        <v>0</v>
      </c>
      <c r="CM9" s="79">
        <v>0</v>
      </c>
      <c r="CN9" s="86">
        <v>0</v>
      </c>
      <c r="CO9" s="81">
        <v>0</v>
      </c>
      <c r="CP9" s="120"/>
      <c r="CQ9" s="121"/>
      <c r="CR9" s="121"/>
      <c r="CS9" s="116">
        <v>4</v>
      </c>
      <c r="CT9" s="116">
        <v>4</v>
      </c>
      <c r="CU9" s="74">
        <f t="shared" si="12"/>
        <v>1</v>
      </c>
      <c r="CV9" s="79">
        <v>3</v>
      </c>
      <c r="CW9" s="79">
        <v>2</v>
      </c>
      <c r="CX9" s="88">
        <v>5</v>
      </c>
      <c r="CY9" s="81">
        <v>30</v>
      </c>
      <c r="CZ9" s="122"/>
      <c r="DA9" s="108"/>
      <c r="DB9" s="108"/>
      <c r="DC9" s="114">
        <v>15</v>
      </c>
      <c r="DD9" s="114">
        <v>4</v>
      </c>
      <c r="DE9" s="74">
        <f t="shared" si="13"/>
        <v>0.26666666666666666</v>
      </c>
      <c r="DF9" s="79">
        <v>2</v>
      </c>
      <c r="DG9" s="79">
        <v>2</v>
      </c>
      <c r="DH9" s="79">
        <v>4</v>
      </c>
      <c r="DI9" s="81">
        <v>24</v>
      </c>
      <c r="DJ9" s="120"/>
      <c r="DK9" s="121"/>
      <c r="DL9" s="121"/>
      <c r="DM9" s="116">
        <v>8</v>
      </c>
      <c r="DN9" s="116">
        <v>2</v>
      </c>
      <c r="DO9" s="74">
        <f t="shared" si="14"/>
        <v>0.25</v>
      </c>
      <c r="DP9" s="79">
        <v>2</v>
      </c>
      <c r="DQ9" s="79">
        <v>0</v>
      </c>
      <c r="DR9" s="79">
        <v>2</v>
      </c>
      <c r="DS9" s="81">
        <v>12</v>
      </c>
      <c r="DT9" s="122"/>
      <c r="DU9" s="108"/>
      <c r="DV9" s="108"/>
      <c r="DW9" s="114">
        <v>18</v>
      </c>
      <c r="DX9" s="114">
        <v>0</v>
      </c>
      <c r="DY9" s="74">
        <f t="shared" si="15"/>
        <v>0</v>
      </c>
      <c r="DZ9" s="90">
        <v>0</v>
      </c>
      <c r="EA9" s="90">
        <v>0</v>
      </c>
      <c r="EB9" s="90">
        <v>0</v>
      </c>
      <c r="EC9" s="91">
        <v>0</v>
      </c>
      <c r="ED9" s="120"/>
      <c r="EE9" s="121"/>
      <c r="EF9" s="121"/>
      <c r="EG9" s="116">
        <v>18</v>
      </c>
      <c r="EH9" s="116">
        <v>0</v>
      </c>
      <c r="EI9" s="74">
        <f t="shared" si="16"/>
        <v>0</v>
      </c>
      <c r="EJ9" s="92">
        <v>0</v>
      </c>
      <c r="EK9" s="92">
        <v>0</v>
      </c>
      <c r="EL9" s="92">
        <v>0</v>
      </c>
      <c r="EM9" s="93">
        <v>0</v>
      </c>
      <c r="EN9" s="122"/>
      <c r="EO9" s="108"/>
      <c r="EP9" s="108"/>
      <c r="EQ9" s="135"/>
      <c r="ER9" s="135"/>
      <c r="ES9" s="74" t="str">
        <f t="shared" si="17"/>
        <v xml:space="preserve"> </v>
      </c>
      <c r="ET9" s="94">
        <v>0</v>
      </c>
      <c r="EU9" s="90"/>
      <c r="EV9" s="94">
        <v>0</v>
      </c>
      <c r="EW9" s="95">
        <v>0</v>
      </c>
      <c r="EX9" s="120"/>
      <c r="EY9" s="121"/>
      <c r="EZ9" s="121"/>
      <c r="FA9" s="116"/>
      <c r="FB9" s="116"/>
      <c r="FC9" s="74" t="str">
        <f t="shared" si="18"/>
        <v xml:space="preserve"> </v>
      </c>
      <c r="FD9" s="123"/>
      <c r="FE9" s="123"/>
      <c r="FF9" s="123"/>
      <c r="FG9" s="123"/>
      <c r="FH9" s="76">
        <f t="shared" si="19"/>
        <v>0</v>
      </c>
      <c r="FI9" s="122"/>
      <c r="FJ9" s="108"/>
      <c r="FK9" s="108"/>
      <c r="FL9" s="114"/>
      <c r="FM9" s="114"/>
      <c r="FN9" s="74" t="str">
        <f t="shared" si="20"/>
        <v xml:space="preserve"> </v>
      </c>
      <c r="FO9" s="90"/>
      <c r="FP9" s="90"/>
      <c r="FQ9" s="90"/>
      <c r="FR9" s="90"/>
      <c r="FS9" s="76">
        <f t="shared" si="21"/>
        <v>0</v>
      </c>
      <c r="FT9" s="120"/>
      <c r="FU9" s="121"/>
      <c r="FV9" s="121"/>
      <c r="FW9" s="116"/>
      <c r="FX9" s="116"/>
      <c r="FY9" s="74" t="str">
        <f t="shared" si="22"/>
        <v xml:space="preserve"> </v>
      </c>
      <c r="FZ9" s="123"/>
      <c r="GA9" s="123"/>
      <c r="GB9" s="123"/>
      <c r="GC9" s="123"/>
      <c r="GD9" s="76">
        <f t="shared" si="23"/>
        <v>0</v>
      </c>
      <c r="GE9" s="136"/>
      <c r="GF9" s="96">
        <v>12.5</v>
      </c>
      <c r="GG9" s="96" t="s">
        <v>236</v>
      </c>
      <c r="GH9" s="96"/>
      <c r="GI9" s="63">
        <v>0.25</v>
      </c>
      <c r="GJ9" s="63"/>
      <c r="GK9" s="97">
        <f t="shared" si="24"/>
        <v>0.25</v>
      </c>
      <c r="GL9" s="63">
        <v>0</v>
      </c>
      <c r="GM9" s="79"/>
      <c r="GN9" s="97">
        <f t="shared" ref="GN9" si="30">IFERROR(SUM(GL9:GM9)," ")</f>
        <v>0</v>
      </c>
      <c r="GO9" s="97">
        <f t="shared" si="26"/>
        <v>12.75</v>
      </c>
      <c r="GP9" s="111"/>
      <c r="GQ9" s="96" t="s">
        <v>213</v>
      </c>
      <c r="GR9" s="96" t="s">
        <v>213</v>
      </c>
      <c r="GS9" s="96" t="s">
        <v>213</v>
      </c>
      <c r="GT9" s="96" t="s">
        <v>213</v>
      </c>
      <c r="GU9" s="96" t="s">
        <v>213</v>
      </c>
      <c r="GV9" s="96" t="s">
        <v>213</v>
      </c>
      <c r="GW9" s="96" t="s">
        <v>213</v>
      </c>
      <c r="GX9" s="96" t="s">
        <v>238</v>
      </c>
      <c r="GY9" s="65" t="str">
        <f t="shared" ref="GY9" si="31">IFERROR(IF(IN9&gt;0,"X",""),"")</f>
        <v>X</v>
      </c>
      <c r="GZ9" s="65" t="str">
        <f t="shared" ref="GZ9" si="32">IFERROR(IF(JC9&gt;0,"X",""),"")</f>
        <v>X</v>
      </c>
      <c r="HA9" s="100" t="s">
        <v>213</v>
      </c>
      <c r="HB9" s="100" t="s">
        <v>213</v>
      </c>
      <c r="HC9" s="100">
        <v>0</v>
      </c>
      <c r="HD9" s="100">
        <v>0</v>
      </c>
      <c r="HE9" s="100">
        <v>0</v>
      </c>
      <c r="HF9" s="100">
        <v>0</v>
      </c>
      <c r="HG9" s="100" t="s">
        <v>213</v>
      </c>
      <c r="HH9" s="100">
        <v>0</v>
      </c>
      <c r="HI9" s="100">
        <v>0</v>
      </c>
      <c r="HJ9" s="100">
        <v>0</v>
      </c>
      <c r="HK9" s="100">
        <v>0</v>
      </c>
      <c r="HL9" s="65" t="str">
        <f t="shared" ref="HL9" si="33">IFERROR(IF(OR(IQ9&gt;0,IR9&gt;0,IS9&gt;0),"x",""),"")</f>
        <v>x</v>
      </c>
      <c r="HM9" s="65" t="str">
        <f t="shared" si="27"/>
        <v/>
      </c>
      <c r="HN9" s="65" t="s">
        <v>239</v>
      </c>
      <c r="HO9" s="65" t="str">
        <f t="shared" ref="HO9" si="34">IFERROR(IF(OR(JE9&gt;0,JF9&gt;0,JG9&gt;0,JH9&gt;0),"x",""),"")</f>
        <v>x</v>
      </c>
      <c r="HP9" s="65" t="str">
        <f t="shared" ref="HP9" si="35">IFERROR(IF(OR(JI9&gt;0,JJ9&gt;0,JK9&gt;0),"x",""),"")</f>
        <v>x</v>
      </c>
      <c r="HQ9" s="99" t="s">
        <v>239</v>
      </c>
      <c r="HR9" s="96"/>
      <c r="HS9" s="124" t="s">
        <v>213</v>
      </c>
      <c r="HT9" s="96"/>
      <c r="HU9" s="96"/>
      <c r="HV9" s="96"/>
      <c r="HW9" s="96"/>
      <c r="HX9" s="96" t="s">
        <v>213</v>
      </c>
      <c r="HY9" s="96"/>
      <c r="HZ9" s="96" t="s">
        <v>213</v>
      </c>
      <c r="IA9" s="96" t="s">
        <v>237</v>
      </c>
      <c r="IB9" s="96"/>
      <c r="IC9" s="96" t="s">
        <v>213</v>
      </c>
      <c r="ID9" s="63" t="s">
        <v>240</v>
      </c>
      <c r="IE9" s="63" t="s">
        <v>213</v>
      </c>
      <c r="IF9" s="63" t="s">
        <v>213</v>
      </c>
      <c r="IG9" s="63" t="s">
        <v>213</v>
      </c>
      <c r="IH9" s="63" t="s">
        <v>213</v>
      </c>
      <c r="II9" s="63" t="s">
        <v>213</v>
      </c>
      <c r="IJ9" s="63" t="s">
        <v>213</v>
      </c>
      <c r="IK9" s="63" t="s">
        <v>213</v>
      </c>
      <c r="IL9" s="100"/>
      <c r="IM9" s="111"/>
      <c r="IN9" s="125">
        <v>5.3</v>
      </c>
      <c r="IO9" s="125"/>
      <c r="IP9" s="96"/>
      <c r="IQ9" s="96">
        <v>6</v>
      </c>
      <c r="IR9" s="96"/>
      <c r="IS9" s="96"/>
      <c r="IT9" s="96"/>
      <c r="IU9" s="96"/>
      <c r="IV9" s="96"/>
      <c r="IW9" s="96"/>
      <c r="IX9" s="96"/>
      <c r="IY9" s="96"/>
      <c r="IZ9" s="96"/>
      <c r="JA9" s="65">
        <f t="shared" si="28"/>
        <v>1</v>
      </c>
      <c r="JB9" s="96"/>
      <c r="JC9" s="125">
        <v>5.9</v>
      </c>
      <c r="JD9" s="125"/>
      <c r="JE9" s="96"/>
      <c r="JF9" s="96">
        <v>5.5</v>
      </c>
      <c r="JG9" s="96"/>
      <c r="JH9" s="96"/>
      <c r="JI9" s="96"/>
      <c r="JJ9" s="96" t="s">
        <v>237</v>
      </c>
      <c r="JK9" s="96"/>
      <c r="JL9" s="96"/>
      <c r="JM9" s="96"/>
      <c r="JN9" s="96"/>
      <c r="JO9" s="96"/>
      <c r="JP9" s="65">
        <f t="shared" si="29"/>
        <v>1</v>
      </c>
      <c r="JQ9" s="96"/>
      <c r="LM9" s="205"/>
      <c r="LN9" s="102">
        <f>IFERROR(ROWS($IL$8:IL9)," ")</f>
        <v>2</v>
      </c>
      <c r="LO9" s="103">
        <f>IFERROR(IF([1]Checklist!$C$3='GenInfo (2)'!E9,'GenInfo (2)'!LN9," ")," ")</f>
        <v>2</v>
      </c>
      <c r="LP9" s="104">
        <f>IFERROR(SMALL($LO$8:$LO$94,ROWS($IL$8:IL9))," ")</f>
        <v>2</v>
      </c>
      <c r="LQ9" s="102">
        <f>IFERROR(ROWS($IL$8:IL9)," ")</f>
        <v>2</v>
      </c>
      <c r="LR9" s="103" t="str">
        <f>IFERROR(IF([1]Checklist!$C$4='GenInfo (2)'!E9,'GenInfo (2)'!LQ9," ")," ")</f>
        <v xml:space="preserve"> </v>
      </c>
      <c r="LS9" s="104">
        <f>IFERROR(SMALL($LR$8:$LR$94,ROWS($IL$8:IL9))," ")</f>
        <v>6</v>
      </c>
      <c r="LT9" s="102">
        <f>IFERROR(ROWS($IL$8:IL9)," ")</f>
        <v>2</v>
      </c>
      <c r="LU9" s="103" t="str">
        <f>IFERROR(IF([1]Checklist!$C$5='GenInfo (2)'!E9,'GenInfo (2)'!LT9," ")," ")</f>
        <v xml:space="preserve"> </v>
      </c>
      <c r="LV9" s="104">
        <f>IFERROR(SMALL($LU$8:$LU$94,ROWS($IL$8:IL9))," ")</f>
        <v>9</v>
      </c>
      <c r="LW9" s="102">
        <f>IFERROR(ROWS($IL$8:IL9)," ")</f>
        <v>2</v>
      </c>
      <c r="LX9" s="103" t="str">
        <f>IFERROR(IF([1]Checklist!$C$6='GenInfo (2)'!E9,'GenInfo (2)'!LW9," ")," ")</f>
        <v xml:space="preserve"> </v>
      </c>
      <c r="LY9" s="104">
        <f>IFERROR(SMALL($LX$8:$LX$94,ROWS($IL$8:IL9))," ")</f>
        <v>11</v>
      </c>
      <c r="LZ9" s="102">
        <f>IFERROR(ROWS($IL$8:IL9)," ")</f>
        <v>2</v>
      </c>
      <c r="MA9" s="103" t="str">
        <f>IFERROR(IF([1]Checklist!$C$7='GenInfo (2)'!E9,'GenInfo (2)'!LZ9," ")," ")</f>
        <v xml:space="preserve"> </v>
      </c>
      <c r="MB9" s="104">
        <f>IFERROR(SMALL($MA$8:$MA$94,ROWS($IL$8:IL9))," ")</f>
        <v>14</v>
      </c>
      <c r="MC9" s="102">
        <f>IFERROR(ROWS($IL$8:IL9)," ")</f>
        <v>2</v>
      </c>
      <c r="MD9" s="103" t="str">
        <f>IFERROR(IF([1]Checklist!$C$8='GenInfo (2)'!E9,'GenInfo (2)'!MC9," ")," ")</f>
        <v xml:space="preserve"> </v>
      </c>
      <c r="ME9" s="104" t="str">
        <f>IFERROR(SMALL($MD$8:$MD$94,ROWS($IL$8:IL9))," ")</f>
        <v xml:space="preserve"> </v>
      </c>
      <c r="MF9" s="102">
        <f>IFERROR(ROWS($IL$8:IL9)," ")</f>
        <v>2</v>
      </c>
      <c r="MG9" s="103" t="str">
        <f>IFERROR(IF([1]Checklist!$C$9='GenInfo (2)'!E9,'GenInfo (2)'!MF9," ")," ")</f>
        <v xml:space="preserve"> </v>
      </c>
      <c r="MH9" s="104">
        <f>IFERROR(SMALL($MG$8:$MG$94,ROWS($IL$8:IL9))," ")</f>
        <v>19</v>
      </c>
      <c r="MI9" s="102">
        <f>IFERROR(ROWS($IL$8:$IL9)," ")</f>
        <v>2</v>
      </c>
      <c r="MJ9" s="103" t="str">
        <f>IFERROR(IF([1]Checklist!$C$10='GenInfo (2)'!E9,'GenInfo (2)'!MI9," ")," ")</f>
        <v xml:space="preserve"> </v>
      </c>
      <c r="MK9" s="104">
        <f>IFERROR(SMALL($MJ$8:$MJ$94,ROWS($IL$8:IL9))," ")</f>
        <v>22</v>
      </c>
      <c r="ML9" s="102">
        <f>IFERROR(ROWS($IL$8:IL9)," ")</f>
        <v>2</v>
      </c>
      <c r="MM9" s="103" t="str">
        <f>IFERROR(IF([1]Checklist!$C$11='GenInfo (2)'!E9,'GenInfo (2)'!ML9," ")," ")</f>
        <v xml:space="preserve"> </v>
      </c>
      <c r="MN9" s="104">
        <f>IFERROR(SMALL($MM$8:$MM$94,ROWS($IL$8:IL9))," ")</f>
        <v>24</v>
      </c>
      <c r="MO9" s="102">
        <f>IFERROR(ROWS($IL$8:IL9)," ")</f>
        <v>2</v>
      </c>
      <c r="MP9" s="103" t="str">
        <f>IFERROR(IF([1]Checklist!$C$12='GenInfo (2)'!E9,'GenInfo (2)'!MO9," ")," ")</f>
        <v xml:space="preserve"> </v>
      </c>
      <c r="MQ9" s="104" t="str">
        <f>IFERROR(SMALL($MP$8:$MP$94,ROWS($IL$8:IL9))," ")</f>
        <v xml:space="preserve"> </v>
      </c>
      <c r="MR9" s="102">
        <f>IFERROR(ROWS($IL$8:IL9)," ")</f>
        <v>2</v>
      </c>
      <c r="MS9" s="103" t="str">
        <f>IFERROR(IF([1]Checklist!$C$13='GenInfo (2)'!E9,'GenInfo (2)'!MR9," ")," ")</f>
        <v xml:space="preserve"> </v>
      </c>
      <c r="MT9" s="104">
        <f>IFERROR(SMALL($MS$8:$MS$94,ROWS($IL$8:IL9))," ")</f>
        <v>28</v>
      </c>
      <c r="MU9" s="102">
        <f>IFERROR(ROWS($IL$8:IL9)," ")</f>
        <v>2</v>
      </c>
      <c r="MV9" s="103" t="str">
        <f>IFERROR(IF([1]Checklist!$C$14='GenInfo (2)'!E9,'GenInfo (2)'!MU9," ")," ")</f>
        <v xml:space="preserve"> </v>
      </c>
      <c r="MW9" s="104">
        <f>IFERROR(SMALL($MV$8:$MV$94,ROWS($IL$8:IL9))," ")</f>
        <v>32</v>
      </c>
      <c r="MX9" s="102">
        <f>IFERROR(ROWS($IL$8:IL9)," ")</f>
        <v>2</v>
      </c>
      <c r="MY9" s="103" t="str">
        <f>IFERROR(IF([1]Checklist!$C$15='GenInfo (2)'!E9,'GenInfo (2)'!MX9," ")," ")</f>
        <v xml:space="preserve"> </v>
      </c>
      <c r="MZ9" s="104">
        <f>IFERROR(SMALL($MY$8:$MY$94,ROWS($IL$8:IL9))," ")</f>
        <v>35</v>
      </c>
      <c r="NA9" s="102">
        <f>IFERROR(ROWS($IL$8:IL9)," ")</f>
        <v>2</v>
      </c>
      <c r="NB9" s="103" t="str">
        <f>IFERROR(IF([1]Checklist!$C$16='GenInfo (2)'!E9,'GenInfo (2)'!NA9," ")," ")</f>
        <v xml:space="preserve"> </v>
      </c>
      <c r="NC9" s="104">
        <f>IFERROR(SMALL($NB$8:$NB$94,ROWS($IL$8:IL9))," ")</f>
        <v>43</v>
      </c>
      <c r="ND9" s="102">
        <f>IFERROR(ROWS($IL$8:IL9)," ")</f>
        <v>2</v>
      </c>
      <c r="NE9" s="103" t="str">
        <f>IFERROR(IF([1]Checklist!$C$17='GenInfo (2)'!E9,'GenInfo (2)'!ND9," ")," ")</f>
        <v xml:space="preserve"> </v>
      </c>
      <c r="NF9" s="104">
        <f>IFERROR(SMALL($NE$8:$NE$94,ROWS($IL$8:IL9))," ")</f>
        <v>47</v>
      </c>
    </row>
    <row r="10" spans="1:370" ht="14.25" x14ac:dyDescent="0.45">
      <c r="A10" s="37" t="s">
        <v>213</v>
      </c>
      <c r="B10" s="37">
        <v>19</v>
      </c>
      <c r="C10" s="146" t="s">
        <v>255</v>
      </c>
      <c r="D10" s="146" t="s">
        <v>256</v>
      </c>
      <c r="E10" s="64" t="s">
        <v>216</v>
      </c>
      <c r="F10" s="63" t="s">
        <v>257</v>
      </c>
      <c r="G10" s="64" t="s">
        <v>218</v>
      </c>
      <c r="H10" s="63"/>
      <c r="I10" s="137" t="s">
        <v>258</v>
      </c>
      <c r="J10" s="63" t="s">
        <v>259</v>
      </c>
      <c r="K10" s="62"/>
      <c r="L10" s="67">
        <v>43948</v>
      </c>
      <c r="M10" s="67">
        <v>43949</v>
      </c>
      <c r="N10" s="63"/>
      <c r="O10" s="138">
        <v>43922</v>
      </c>
      <c r="P10" s="63"/>
      <c r="Q10" s="63"/>
      <c r="R10" s="63"/>
      <c r="S10" s="63"/>
      <c r="T10" s="63"/>
      <c r="U10" s="63"/>
      <c r="V10" s="67">
        <v>43951</v>
      </c>
      <c r="W10" s="63" t="s">
        <v>222</v>
      </c>
      <c r="X10" s="101"/>
      <c r="Y10" s="101"/>
      <c r="Z10" s="101"/>
      <c r="AA10" s="63"/>
      <c r="AB10" s="63" t="s">
        <v>260</v>
      </c>
      <c r="AC10" s="63" t="s">
        <v>261</v>
      </c>
      <c r="AD10" s="66" t="s">
        <v>262</v>
      </c>
      <c r="AE10" s="63" t="s">
        <v>263</v>
      </c>
      <c r="AF10" s="63"/>
      <c r="AG10" s="63"/>
      <c r="AH10" s="63"/>
      <c r="AI10" s="63"/>
      <c r="AJ10" s="63"/>
      <c r="AK10" s="63"/>
      <c r="AL10" s="63"/>
      <c r="AM10" s="63">
        <v>17</v>
      </c>
      <c r="AN10" s="67">
        <v>37618</v>
      </c>
      <c r="AO10" s="63"/>
      <c r="AP10" s="63" t="s">
        <v>231</v>
      </c>
      <c r="AQ10" s="63" t="s">
        <v>264</v>
      </c>
      <c r="AR10" s="139" t="s">
        <v>233</v>
      </c>
      <c r="AS10" s="63">
        <v>0</v>
      </c>
      <c r="AT10" s="63" t="s">
        <v>265</v>
      </c>
      <c r="AU10" s="63">
        <v>14</v>
      </c>
      <c r="AV10" s="63">
        <v>4</v>
      </c>
      <c r="AW10" s="63" t="s">
        <v>265</v>
      </c>
      <c r="AX10" s="63" t="s">
        <v>266</v>
      </c>
      <c r="AY10" s="63" t="s">
        <v>265</v>
      </c>
      <c r="AZ10" s="63" t="s">
        <v>235</v>
      </c>
      <c r="BA10" s="63" t="s">
        <v>235</v>
      </c>
      <c r="BB10" s="63"/>
      <c r="BC10" s="63"/>
      <c r="BD10" s="62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3"/>
      <c r="CM10" s="63"/>
      <c r="CN10" s="63"/>
      <c r="CO10" s="63"/>
      <c r="CP10" s="63"/>
      <c r="CQ10" s="63"/>
      <c r="CR10" s="63"/>
      <c r="CS10" s="63"/>
      <c r="CT10" s="63"/>
      <c r="CU10" s="63"/>
      <c r="CV10" s="63"/>
      <c r="CW10" s="63"/>
      <c r="CX10" s="63"/>
      <c r="CY10" s="63"/>
      <c r="CZ10" s="63"/>
      <c r="DA10" s="63"/>
      <c r="DB10" s="63"/>
      <c r="DC10" s="63"/>
      <c r="DD10" s="63"/>
      <c r="DE10" s="63"/>
      <c r="DF10" s="63"/>
      <c r="DG10" s="63"/>
      <c r="DH10" s="63"/>
      <c r="DI10" s="63"/>
      <c r="DJ10" s="63"/>
      <c r="DK10" s="63"/>
      <c r="DL10" s="63"/>
      <c r="DM10" s="63"/>
      <c r="DN10" s="63"/>
      <c r="DO10" s="63"/>
      <c r="DP10" s="63"/>
      <c r="DQ10" s="63"/>
      <c r="DR10" s="63"/>
      <c r="DS10" s="63"/>
      <c r="DT10" s="63"/>
      <c r="DU10" s="63"/>
      <c r="DV10" s="63"/>
      <c r="DW10" s="63"/>
      <c r="DX10" s="63"/>
      <c r="DY10" s="63"/>
      <c r="DZ10" s="63"/>
      <c r="EA10" s="63"/>
      <c r="EB10" s="63"/>
      <c r="EC10" s="63"/>
      <c r="ED10" s="63"/>
      <c r="EE10" s="63"/>
      <c r="EF10" s="63"/>
      <c r="EG10" s="63"/>
      <c r="EH10" s="63"/>
      <c r="EI10" s="63"/>
      <c r="EJ10" s="63"/>
      <c r="EK10" s="63"/>
      <c r="EL10" s="63"/>
      <c r="EM10" s="63"/>
      <c r="EN10" s="63"/>
      <c r="EO10" s="63"/>
      <c r="EP10" s="63"/>
      <c r="EQ10" s="63"/>
      <c r="ER10" s="63"/>
      <c r="ES10" s="63"/>
      <c r="ET10" s="63"/>
      <c r="EU10" s="63"/>
      <c r="EV10" s="63"/>
      <c r="EW10" s="63"/>
      <c r="EX10" s="63"/>
      <c r="EY10" s="63"/>
      <c r="EZ10" s="63"/>
      <c r="FA10" s="63"/>
      <c r="FB10" s="63"/>
      <c r="FC10" s="63"/>
      <c r="FD10" s="63"/>
      <c r="FE10" s="63"/>
      <c r="FF10" s="63"/>
      <c r="FG10" s="63"/>
      <c r="FH10" s="63"/>
      <c r="FI10" s="63"/>
      <c r="FJ10" s="63"/>
      <c r="FK10" s="63"/>
      <c r="FL10" s="63"/>
      <c r="FM10" s="63"/>
      <c r="FN10" s="63"/>
      <c r="FO10" s="63"/>
      <c r="FP10" s="63"/>
      <c r="FQ10" s="63"/>
      <c r="FR10" s="63"/>
      <c r="FS10" s="63"/>
      <c r="FT10" s="63"/>
      <c r="FU10" s="63"/>
      <c r="FV10" s="63"/>
      <c r="FW10" s="63"/>
      <c r="FX10" s="63"/>
      <c r="FY10" s="63"/>
      <c r="FZ10" s="63"/>
      <c r="GA10" s="63"/>
      <c r="GB10" s="63"/>
      <c r="GC10" s="63"/>
      <c r="GD10" s="63"/>
      <c r="GE10" s="63"/>
      <c r="GF10" s="63"/>
      <c r="GG10" s="63"/>
      <c r="GH10" s="63"/>
      <c r="GI10" s="63" t="s">
        <v>221</v>
      </c>
      <c r="GJ10" s="63" t="s">
        <v>221</v>
      </c>
      <c r="GK10" s="97">
        <f t="shared" si="24"/>
        <v>0</v>
      </c>
      <c r="GL10" s="63" t="s">
        <v>221</v>
      </c>
      <c r="GM10" s="63"/>
      <c r="GN10" s="63"/>
      <c r="GO10" s="63"/>
      <c r="GP10" s="63"/>
      <c r="GQ10" s="63" t="s">
        <v>213</v>
      </c>
      <c r="GR10" s="63" t="s">
        <v>213</v>
      </c>
      <c r="GS10" s="63"/>
      <c r="GT10" s="63" t="s">
        <v>213</v>
      </c>
      <c r="GU10" s="63" t="s">
        <v>213</v>
      </c>
      <c r="GV10" s="63"/>
      <c r="GW10" s="63" t="s">
        <v>213</v>
      </c>
      <c r="GX10" s="63" t="s">
        <v>213</v>
      </c>
      <c r="GY10" s="63" t="s">
        <v>213</v>
      </c>
      <c r="GZ10" s="63" t="s">
        <v>213</v>
      </c>
      <c r="HA10" s="63" t="s">
        <v>213</v>
      </c>
      <c r="HB10" s="63"/>
      <c r="HC10" s="63"/>
      <c r="HD10" s="63"/>
      <c r="HE10" s="63"/>
      <c r="HF10" s="63"/>
      <c r="HG10" s="63" t="s">
        <v>213</v>
      </c>
      <c r="HH10" s="63"/>
      <c r="HI10" s="63"/>
      <c r="HJ10" s="63"/>
      <c r="HK10" s="63"/>
      <c r="HL10" s="63"/>
      <c r="HM10" s="63"/>
      <c r="HN10" s="65" t="s">
        <v>239</v>
      </c>
      <c r="HO10" s="63"/>
      <c r="HP10" s="63"/>
      <c r="HQ10" s="65" t="s">
        <v>239</v>
      </c>
      <c r="HR10" s="63"/>
      <c r="HS10" s="63"/>
      <c r="HT10" s="63"/>
      <c r="HU10" s="63"/>
      <c r="HV10" s="63"/>
      <c r="HW10" s="63"/>
      <c r="HX10" s="63"/>
      <c r="HY10" s="63"/>
      <c r="HZ10" s="63"/>
      <c r="IA10" s="63"/>
      <c r="IB10" s="63"/>
      <c r="IC10" s="63" t="s">
        <v>213</v>
      </c>
      <c r="ID10" s="63"/>
      <c r="IE10" s="63"/>
      <c r="IF10" s="63"/>
      <c r="IG10" s="63"/>
      <c r="IH10" s="63"/>
      <c r="II10" s="63"/>
      <c r="IJ10" s="63"/>
      <c r="IK10" s="63"/>
      <c r="IL10" s="63" t="s">
        <v>213</v>
      </c>
      <c r="IM10" s="63"/>
      <c r="IN10" s="63"/>
      <c r="IO10" s="63"/>
      <c r="IP10" s="63"/>
      <c r="IQ10" s="63"/>
      <c r="IR10" s="63"/>
      <c r="IS10" s="63"/>
      <c r="IT10" s="63"/>
      <c r="IU10" s="63"/>
      <c r="IV10" s="63"/>
      <c r="IW10" s="63"/>
      <c r="IX10" s="63"/>
      <c r="IY10" s="63"/>
      <c r="IZ10" s="63"/>
      <c r="JA10" s="63"/>
      <c r="JB10" s="63"/>
      <c r="JC10" s="63"/>
      <c r="JD10" s="63"/>
      <c r="JE10" s="63"/>
      <c r="JF10" s="63"/>
      <c r="JG10" s="63"/>
      <c r="JH10" s="63"/>
      <c r="JI10" s="63"/>
      <c r="JJ10" s="63"/>
      <c r="JK10" s="63"/>
      <c r="JL10" s="63"/>
      <c r="JM10" s="63"/>
      <c r="JN10" s="63"/>
      <c r="JO10" s="63"/>
      <c r="JP10" s="65">
        <f t="shared" si="29"/>
        <v>0</v>
      </c>
      <c r="JQ10" s="63"/>
      <c r="LM10" s="205"/>
      <c r="LN10" s="102">
        <f>IFERROR(ROWS($IL$8:IL10)," ")</f>
        <v>3</v>
      </c>
      <c r="LO10" s="103">
        <f>IFERROR(IF([1]Checklist!$C$3='GenInfo (2)'!E10,'GenInfo (2)'!LN10," ")," ")</f>
        <v>3</v>
      </c>
      <c r="LP10" s="104">
        <f>IFERROR(SMALL($LO$8:$LO$94,ROWS($IL$8:IL10))," ")</f>
        <v>3</v>
      </c>
      <c r="LQ10" s="102">
        <f>IFERROR(ROWS($IL$8:IL10)," ")</f>
        <v>3</v>
      </c>
      <c r="LR10" s="103" t="str">
        <f>IFERROR(IF([1]Checklist!$C$4='GenInfo (2)'!E10,'GenInfo (2)'!LQ10," ")," ")</f>
        <v xml:space="preserve"> </v>
      </c>
      <c r="LS10" s="104">
        <f>IFERROR(SMALL($LR$8:$LR$94,ROWS($IL$8:IL10))," ")</f>
        <v>7</v>
      </c>
      <c r="LT10" s="102">
        <f>IFERROR(ROWS($IL$8:IL10)," ")</f>
        <v>3</v>
      </c>
      <c r="LU10" s="103" t="str">
        <f>IFERROR(IF([1]Checklist!$C$5='GenInfo (2)'!E10,'GenInfo (2)'!LT10," ")," ")</f>
        <v xml:space="preserve"> </v>
      </c>
      <c r="LV10" s="104" t="str">
        <f>IFERROR(SMALL($LU$8:$LU$94,ROWS($IL$8:IL10))," ")</f>
        <v xml:space="preserve"> </v>
      </c>
      <c r="LW10" s="102">
        <f>IFERROR(ROWS($IL$8:IL10)," ")</f>
        <v>3</v>
      </c>
      <c r="LX10" s="103" t="str">
        <f>IFERROR(IF([1]Checklist!$C$6='GenInfo (2)'!E10,'GenInfo (2)'!LW10," ")," ")</f>
        <v xml:space="preserve"> </v>
      </c>
      <c r="LY10" s="104">
        <f>IFERROR(SMALL($LX$8:$LX$94,ROWS($IL$8:IL10))," ")</f>
        <v>12</v>
      </c>
      <c r="LZ10" s="102">
        <f>IFERROR(ROWS($IL$8:IL10)," ")</f>
        <v>3</v>
      </c>
      <c r="MA10" s="103" t="str">
        <f>IFERROR(IF([1]Checklist!$C$7='GenInfo (2)'!E10,'GenInfo (2)'!LZ10," ")," ")</f>
        <v xml:space="preserve"> </v>
      </c>
      <c r="MB10" s="104">
        <f>IFERROR(SMALL($MA$8:$MA$94,ROWS($IL$8:IL10))," ")</f>
        <v>15</v>
      </c>
      <c r="MC10" s="102">
        <f>IFERROR(ROWS($IL$8:IL10)," ")</f>
        <v>3</v>
      </c>
      <c r="MD10" s="103" t="str">
        <f>IFERROR(IF([1]Checklist!$C$8='GenInfo (2)'!E10,'GenInfo (2)'!MC10," ")," ")</f>
        <v xml:space="preserve"> </v>
      </c>
      <c r="ME10" s="104" t="str">
        <f>IFERROR(SMALL($MD$8:$MD$94,ROWS($IL$8:IL10))," ")</f>
        <v xml:space="preserve"> </v>
      </c>
      <c r="MF10" s="102">
        <f>IFERROR(ROWS($IL$8:IL10)," ")</f>
        <v>3</v>
      </c>
      <c r="MG10" s="103" t="str">
        <f>IFERROR(IF([1]Checklist!$C$9='GenInfo (2)'!E10,'GenInfo (2)'!MF10," ")," ")</f>
        <v xml:space="preserve"> </v>
      </c>
      <c r="MH10" s="104">
        <f>IFERROR(SMALL($MG$8:$MG$94,ROWS($IL$8:IL10))," ")</f>
        <v>20</v>
      </c>
      <c r="MI10" s="102">
        <f>IFERROR(ROWS($IL$8:$IL10)," ")</f>
        <v>3</v>
      </c>
      <c r="MJ10" s="103" t="str">
        <f>IFERROR(IF([1]Checklist!$C$10='GenInfo (2)'!E10,'GenInfo (2)'!MI10," ")," ")</f>
        <v xml:space="preserve"> </v>
      </c>
      <c r="MK10" s="104" t="str">
        <f>IFERROR(SMALL($MJ$8:$MJ$94,ROWS($IL$8:IL10))," ")</f>
        <v xml:space="preserve"> </v>
      </c>
      <c r="ML10" s="102">
        <f>IFERROR(ROWS($IL$8:IL10)," ")</f>
        <v>3</v>
      </c>
      <c r="MM10" s="103" t="str">
        <f>IFERROR(IF([1]Checklist!$C$11='GenInfo (2)'!E10,'GenInfo (2)'!ML10," ")," ")</f>
        <v xml:space="preserve"> </v>
      </c>
      <c r="MN10" s="104">
        <f>IFERROR(SMALL($MM$8:$MM$94,ROWS($IL$8:IL10))," ")</f>
        <v>25</v>
      </c>
      <c r="MO10" s="102">
        <f>IFERROR(ROWS($IL$8:IL10)," ")</f>
        <v>3</v>
      </c>
      <c r="MP10" s="103" t="str">
        <f>IFERROR(IF([1]Checklist!$C$12='GenInfo (2)'!E10,'GenInfo (2)'!MO10," ")," ")</f>
        <v xml:space="preserve"> </v>
      </c>
      <c r="MQ10" s="104" t="str">
        <f>IFERROR(SMALL($MP$8:$MP$94,ROWS($IL$8:IL10))," ")</f>
        <v xml:space="preserve"> </v>
      </c>
      <c r="MR10" s="102">
        <f>IFERROR(ROWS($IL$8:IL10)," ")</f>
        <v>3</v>
      </c>
      <c r="MS10" s="103" t="str">
        <f>IFERROR(IF([1]Checklist!$C$13='GenInfo (2)'!E10,'GenInfo (2)'!MR10," ")," ")</f>
        <v xml:space="preserve"> </v>
      </c>
      <c r="MT10" s="104">
        <f>IFERROR(SMALL($MS$8:$MS$94,ROWS($IL$8:IL10))," ")</f>
        <v>29</v>
      </c>
      <c r="MU10" s="102">
        <f>IFERROR(ROWS($IL$8:IL10)," ")</f>
        <v>3</v>
      </c>
      <c r="MV10" s="103" t="str">
        <f>IFERROR(IF([1]Checklist!$C$14='GenInfo (2)'!E10,'GenInfo (2)'!MU10," ")," ")</f>
        <v xml:space="preserve"> </v>
      </c>
      <c r="MW10" s="104">
        <f>IFERROR(SMALL($MV$8:$MV$94,ROWS($IL$8:IL10))," ")</f>
        <v>33</v>
      </c>
      <c r="MX10" s="102">
        <f>IFERROR(ROWS($IL$8:IL10)," ")</f>
        <v>3</v>
      </c>
      <c r="MY10" s="103" t="str">
        <f>IFERROR(IF([1]Checklist!$C$15='GenInfo (2)'!E10,'GenInfo (2)'!MX10," ")," ")</f>
        <v xml:space="preserve"> </v>
      </c>
      <c r="MZ10" s="104">
        <f>IFERROR(SMALL($MY$8:$MY$94,ROWS($IL$8:IL10))," ")</f>
        <v>36</v>
      </c>
      <c r="NA10" s="102">
        <f>IFERROR(ROWS($IL$8:IL10)," ")</f>
        <v>3</v>
      </c>
      <c r="NB10" s="103" t="str">
        <f>IFERROR(IF([1]Checklist!$C$16='GenInfo (2)'!E10,'GenInfo (2)'!NA10," ")," ")</f>
        <v xml:space="preserve"> </v>
      </c>
      <c r="NC10" s="104">
        <f>IFERROR(SMALL($NB$8:$NB$94,ROWS($IL$8:IL10))," ")</f>
        <v>44</v>
      </c>
      <c r="ND10" s="102">
        <f>IFERROR(ROWS($IL$8:IL10)," ")</f>
        <v>3</v>
      </c>
      <c r="NE10" s="103" t="str">
        <f>IFERROR(IF([1]Checklist!$C$17='GenInfo (2)'!E10,'GenInfo (2)'!ND10," ")," ")</f>
        <v xml:space="preserve"> </v>
      </c>
      <c r="NF10" s="104">
        <f>IFERROR(SMALL($NE$8:$NE$94,ROWS($IL$8:IL10))," ")</f>
        <v>48</v>
      </c>
    </row>
    <row r="11" spans="1:370" ht="14.25" x14ac:dyDescent="0.45">
      <c r="A11" s="37" t="s">
        <v>213</v>
      </c>
      <c r="B11" s="37">
        <v>20</v>
      </c>
      <c r="C11" s="146" t="s">
        <v>255</v>
      </c>
      <c r="D11" s="146" t="s">
        <v>256</v>
      </c>
      <c r="E11" s="64" t="s">
        <v>216</v>
      </c>
      <c r="F11" s="63" t="s">
        <v>257</v>
      </c>
      <c r="G11" s="64" t="s">
        <v>267</v>
      </c>
      <c r="H11" s="63"/>
      <c r="I11" s="132" t="s">
        <v>258</v>
      </c>
      <c r="J11" s="63" t="s">
        <v>259</v>
      </c>
      <c r="K11" s="62"/>
      <c r="L11" s="67">
        <v>43804</v>
      </c>
      <c r="M11" s="67">
        <v>43804</v>
      </c>
      <c r="N11" s="67" t="s">
        <v>213</v>
      </c>
      <c r="O11" s="68" t="s">
        <v>268</v>
      </c>
      <c r="P11" s="67"/>
      <c r="Q11" s="67"/>
      <c r="R11" s="63" t="s">
        <v>269</v>
      </c>
      <c r="S11" s="67">
        <v>43874</v>
      </c>
      <c r="T11" s="63"/>
      <c r="U11" s="62"/>
      <c r="V11" s="63"/>
      <c r="W11" s="63"/>
      <c r="X11" s="69"/>
      <c r="Y11" s="63"/>
      <c r="Z11" s="69"/>
      <c r="AA11" s="62"/>
      <c r="AB11" s="63" t="s">
        <v>270</v>
      </c>
      <c r="AC11" s="63" t="s">
        <v>271</v>
      </c>
      <c r="AD11" s="66" t="s">
        <v>272</v>
      </c>
      <c r="AE11" s="63" t="s">
        <v>263</v>
      </c>
      <c r="AF11" s="63" t="s">
        <v>273</v>
      </c>
      <c r="AG11" s="63" t="s">
        <v>274</v>
      </c>
      <c r="AH11" s="63" t="s">
        <v>275</v>
      </c>
      <c r="AI11" s="63" t="s">
        <v>230</v>
      </c>
      <c r="AJ11" s="63">
        <v>60443</v>
      </c>
      <c r="AK11" s="62"/>
      <c r="AL11" s="71" t="str">
        <f t="shared" ref="AL11:AL35" si="36">IFERROR(DATEDIF(AN11,V11,"y"),"")</f>
        <v/>
      </c>
      <c r="AM11" s="71">
        <f t="shared" ref="AM11:AM21" ca="1" si="37">IFERROR(DATEDIF($AN11,TODAY(),"y"),"")</f>
        <v>19</v>
      </c>
      <c r="AN11" s="67">
        <v>37618</v>
      </c>
      <c r="AO11" s="72">
        <f t="shared" ref="AO11:AO35" ca="1" si="38">IFERROR(DATEDIF(TODAY(),EDATE(AN11,(12*21)),"m"),"")</f>
        <v>23</v>
      </c>
      <c r="AP11" s="63" t="s">
        <v>231</v>
      </c>
      <c r="AQ11" s="63" t="s">
        <v>264</v>
      </c>
      <c r="AR11" s="70" t="s">
        <v>276</v>
      </c>
      <c r="AS11" s="63">
        <v>0</v>
      </c>
      <c r="AT11" s="63">
        <v>240</v>
      </c>
      <c r="AU11" s="63">
        <v>14</v>
      </c>
      <c r="AV11" s="63">
        <v>3</v>
      </c>
      <c r="AW11" s="63">
        <v>30</v>
      </c>
      <c r="AX11" s="63" t="s">
        <v>234</v>
      </c>
      <c r="AY11" s="63" t="s">
        <v>265</v>
      </c>
      <c r="AZ11" s="63" t="s">
        <v>235</v>
      </c>
      <c r="BA11" s="63" t="s">
        <v>235</v>
      </c>
      <c r="BB11" s="63"/>
      <c r="BC11" s="63"/>
      <c r="BD11" s="62"/>
      <c r="BE11" s="71">
        <f t="shared" ref="BE11:BF26" si="39">IFERROR(COUNTIF(CI11,"&gt;0")+COUNTIF(CS11,"&gt;0")+COUNTIF(DC11,"&gt;0")+COUNTIF(DM11,"&gt;0")+COUNTIF(DW11,"&gt;0")+COUNTIF(EG11,"&gt;0")," ")</f>
        <v>0</v>
      </c>
      <c r="BF11" s="71">
        <f t="shared" si="39"/>
        <v>0</v>
      </c>
      <c r="BG11" s="71">
        <f t="shared" ref="BG11:BG35" si="40">IFERROR(COUNTIF(CK11,"&lt;49.5%")+COUNTIF(CU11,"&lt;49.5%")+COUNTIF(DE11,"&lt;49.5%")+COUNTIF(DO11,"&lt;49.5%")+COUNTIF(DY11,"&lt;49.5%")+COUNTIF(EI11,"&lt;49.5%")," ")</f>
        <v>0</v>
      </c>
      <c r="BH11" s="74" t="str">
        <f t="shared" ref="BH11:BH35" si="41">IFERROR(AVERAGE(CK11,CU11,DE11,DO11,DY11,EI11)," ")</f>
        <v xml:space="preserve"> </v>
      </c>
      <c r="BI11" s="75" t="str">
        <f t="shared" ref="BI11:BI35" si="42">IFERROR(BG11/BE11," ")</f>
        <v xml:space="preserve"> </v>
      </c>
      <c r="BJ11" s="71">
        <f t="shared" ref="BJ11:BJ35" si="43">IFERROR(COUNTIF(CN11,"&gt;0")+COUNTIF(CW11,"&gt;0")+COUNTIF(DH11,"&gt;0")+COUNTIF(DR11,"&gt;0")+COUNTIF(EB11,"&gt;0")+COUNTIF(EL11,"&gt;0")," ")</f>
        <v>0</v>
      </c>
      <c r="BK11" s="75" t="str">
        <f t="shared" ref="BK11:BK35" si="44">IFERROR(BJ11/BE11," ")</f>
        <v xml:space="preserve"> </v>
      </c>
      <c r="BL11" s="76">
        <f t="shared" ref="BL11:BM26" si="45">IFERROR(SUM(BV11,CD11,CN11,CW11,DH11,DR11,EB11,EL11),"")</f>
        <v>0</v>
      </c>
      <c r="BM11" s="77">
        <f t="shared" si="45"/>
        <v>0</v>
      </c>
      <c r="BN11" s="78"/>
      <c r="BO11" s="67"/>
      <c r="BP11" s="67"/>
      <c r="BQ11" s="63"/>
      <c r="BR11" s="63"/>
      <c r="BS11" s="74" t="str">
        <f>IFERROR(BR11/BQ11," ")</f>
        <v xml:space="preserve"> </v>
      </c>
      <c r="BT11" s="79">
        <v>0</v>
      </c>
      <c r="BU11" s="79">
        <v>0</v>
      </c>
      <c r="BV11" s="80">
        <v>0</v>
      </c>
      <c r="BW11" s="81">
        <v>0</v>
      </c>
      <c r="BX11" s="82"/>
      <c r="BY11" s="83"/>
      <c r="BZ11" s="83"/>
      <c r="CA11" s="84"/>
      <c r="CB11" s="84"/>
      <c r="CC11" s="74" t="str">
        <f>IFERROR(CB11/CA11," ")</f>
        <v xml:space="preserve"> </v>
      </c>
      <c r="CD11" s="79">
        <v>0</v>
      </c>
      <c r="CE11" s="81">
        <v>0</v>
      </c>
      <c r="CF11" s="85"/>
      <c r="CG11" s="85"/>
      <c r="CH11" s="85"/>
      <c r="CI11" s="78"/>
      <c r="CJ11" s="78"/>
      <c r="CK11" s="74" t="str">
        <f>IFERROR(CJ11/CI11," ")</f>
        <v xml:space="preserve"> </v>
      </c>
      <c r="CL11" s="79">
        <v>0</v>
      </c>
      <c r="CM11" s="79">
        <v>0</v>
      </c>
      <c r="CN11" s="86">
        <v>0</v>
      </c>
      <c r="CO11" s="81">
        <v>0</v>
      </c>
      <c r="CP11" s="87"/>
      <c r="CQ11" s="83"/>
      <c r="CR11" s="83"/>
      <c r="CS11" s="82"/>
      <c r="CT11" s="82"/>
      <c r="CU11" s="74" t="str">
        <f>IFERROR(CT11/CS11," ")</f>
        <v xml:space="preserve"> </v>
      </c>
      <c r="CV11" s="79">
        <v>0</v>
      </c>
      <c r="CW11" s="79">
        <v>0</v>
      </c>
      <c r="CX11" s="88">
        <v>0</v>
      </c>
      <c r="CY11" s="81">
        <v>0</v>
      </c>
      <c r="CZ11" s="89"/>
      <c r="DA11" s="67"/>
      <c r="DB11" s="67"/>
      <c r="DC11" s="78"/>
      <c r="DD11" s="78"/>
      <c r="DE11" s="74" t="str">
        <f>IFERROR(DD11/DC11," ")</f>
        <v xml:space="preserve"> </v>
      </c>
      <c r="DF11" s="79">
        <v>0</v>
      </c>
      <c r="DG11" s="79">
        <v>0</v>
      </c>
      <c r="DH11" s="79">
        <v>0</v>
      </c>
      <c r="DI11" s="81">
        <v>0</v>
      </c>
      <c r="DJ11" s="87"/>
      <c r="DK11" s="83"/>
      <c r="DL11" s="83"/>
      <c r="DM11" s="82"/>
      <c r="DN11" s="82"/>
      <c r="DO11" s="74" t="str">
        <f>IFERROR(DN11/DM11," ")</f>
        <v xml:space="preserve"> </v>
      </c>
      <c r="DP11" s="79">
        <v>0</v>
      </c>
      <c r="DQ11" s="79">
        <v>0</v>
      </c>
      <c r="DR11" s="79">
        <v>0</v>
      </c>
      <c r="DS11" s="81">
        <v>0</v>
      </c>
      <c r="DT11" s="89"/>
      <c r="DU11" s="67"/>
      <c r="DV11" s="67"/>
      <c r="DW11" s="78"/>
      <c r="DX11" s="78"/>
      <c r="DY11" s="74" t="str">
        <f>IFERROR(DX11/DW11," ")</f>
        <v xml:space="preserve"> </v>
      </c>
      <c r="DZ11" s="90">
        <v>0</v>
      </c>
      <c r="EA11" s="90">
        <v>0</v>
      </c>
      <c r="EB11" s="90">
        <v>0</v>
      </c>
      <c r="EC11" s="91">
        <v>0</v>
      </c>
      <c r="ED11" s="87"/>
      <c r="EE11" s="83"/>
      <c r="EF11" s="83"/>
      <c r="EG11" s="82"/>
      <c r="EH11" s="82"/>
      <c r="EI11" s="74" t="str">
        <f t="shared" ref="EI11:EI35" si="46">IFERROR(EH11/EG11," ")</f>
        <v xml:space="preserve"> </v>
      </c>
      <c r="EJ11" s="92">
        <v>0</v>
      </c>
      <c r="EK11" s="92">
        <v>0</v>
      </c>
      <c r="EL11" s="92">
        <v>0</v>
      </c>
      <c r="EM11" s="93">
        <v>0</v>
      </c>
      <c r="EN11" s="89"/>
      <c r="EO11" s="67"/>
      <c r="EP11" s="67"/>
      <c r="EQ11" s="78"/>
      <c r="ER11" s="78"/>
      <c r="ES11" s="74" t="str">
        <f t="shared" ref="ES11:ES35" si="47">IFERROR(ER11/EQ11," ")</f>
        <v xml:space="preserve"> </v>
      </c>
      <c r="ET11" s="94">
        <v>0</v>
      </c>
      <c r="EU11" s="94"/>
      <c r="EV11" s="94">
        <v>0</v>
      </c>
      <c r="EW11" s="95">
        <v>0</v>
      </c>
      <c r="EX11" s="87"/>
      <c r="EY11" s="83"/>
      <c r="EZ11" s="83"/>
      <c r="FA11" s="82"/>
      <c r="FB11" s="82"/>
      <c r="FC11" s="74" t="str">
        <f>IFERROR(FB11/FA11," ")</f>
        <v xml:space="preserve"> </v>
      </c>
      <c r="FD11" s="92"/>
      <c r="FE11" s="92"/>
      <c r="FF11" s="92"/>
      <c r="FG11" s="92"/>
      <c r="FH11" s="76">
        <f>SUM(FD11:FG11)</f>
        <v>0</v>
      </c>
      <c r="FI11" s="89"/>
      <c r="FJ11" s="67"/>
      <c r="FK11" s="67"/>
      <c r="FL11" s="78"/>
      <c r="FM11" s="78"/>
      <c r="FN11" s="74" t="str">
        <f>IFERROR(FM11/FL11," ")</f>
        <v xml:space="preserve"> </v>
      </c>
      <c r="FO11" s="94"/>
      <c r="FP11" s="94"/>
      <c r="FQ11" s="94"/>
      <c r="FR11" s="94"/>
      <c r="FS11" s="76">
        <f>SUM(FO11:FR11)</f>
        <v>0</v>
      </c>
      <c r="FT11" s="87"/>
      <c r="FU11" s="83"/>
      <c r="FV11" s="83"/>
      <c r="FW11" s="82"/>
      <c r="FX11" s="82"/>
      <c r="FY11" s="74" t="str">
        <f>IFERROR(FX11/FW11," ")</f>
        <v xml:space="preserve"> </v>
      </c>
      <c r="FZ11" s="92"/>
      <c r="GA11" s="92"/>
      <c r="GB11" s="92"/>
      <c r="GC11" s="92"/>
      <c r="GD11" s="76">
        <f>SUM(FZ11:GC11)</f>
        <v>0</v>
      </c>
      <c r="GE11" s="62"/>
      <c r="GF11" s="96" t="s">
        <v>221</v>
      </c>
      <c r="GG11" s="96" t="s">
        <v>221</v>
      </c>
      <c r="GH11" s="63"/>
      <c r="GI11" s="63" t="s">
        <v>221</v>
      </c>
      <c r="GJ11" s="63" t="s">
        <v>221</v>
      </c>
      <c r="GK11" s="97">
        <f t="shared" si="24"/>
        <v>0</v>
      </c>
      <c r="GL11" s="63" t="s">
        <v>221</v>
      </c>
      <c r="GM11" s="98"/>
      <c r="GN11" s="97">
        <f>IFERROR(SUM(GL11:GM11)," ")</f>
        <v>0</v>
      </c>
      <c r="GO11" s="97" t="str">
        <f>IFERROR(GF11+GK11+GN11," ")</f>
        <v xml:space="preserve"> </v>
      </c>
      <c r="GP11" s="62"/>
      <c r="GQ11" s="63" t="s">
        <v>213</v>
      </c>
      <c r="GR11" s="63"/>
      <c r="GS11" s="63" t="s">
        <v>213</v>
      </c>
      <c r="GT11" s="63"/>
      <c r="GU11" s="63"/>
      <c r="GV11" s="63"/>
      <c r="GW11" s="63"/>
      <c r="GX11" s="63"/>
      <c r="GY11" s="65" t="str">
        <f>IFERROR(IF(IN11&gt;0,"X",""),"")</f>
        <v/>
      </c>
      <c r="GZ11" s="65" t="str">
        <f>IFERROR(IF(JC11&gt;0,"X",""),"")</f>
        <v/>
      </c>
      <c r="HA11" s="63"/>
      <c r="HB11" s="63"/>
      <c r="HC11" s="63"/>
      <c r="HD11" s="63"/>
      <c r="HE11" s="63"/>
      <c r="HF11" s="63"/>
      <c r="HG11" s="63"/>
      <c r="HH11" s="63"/>
      <c r="HI11" s="63"/>
      <c r="HJ11" s="63"/>
      <c r="HK11" s="63"/>
      <c r="HL11" s="65" t="str">
        <f>IFERROR(IF(OR(IQ11&gt;0,IR11&gt;0,IS11&gt;0),"x",""),"")</f>
        <v/>
      </c>
      <c r="HM11" s="65" t="str">
        <f>IFERROR(IF(OR(IT11&gt;0,IU11&gt;0,IV11&gt;0),"x",""),"")</f>
        <v/>
      </c>
      <c r="HN11" s="65" t="str">
        <f>IFERROR(IF(OR(IW11&gt;0,IX11&gt;0,IY11&gt;0,IZ11&gt;0),"x",""),"")</f>
        <v/>
      </c>
      <c r="HO11" s="65" t="str">
        <f>IFERROR(IF(OR(JE11&gt;0,JF11&gt;0,JG11&gt;0,JH11&gt;0),"x",""),"")</f>
        <v/>
      </c>
      <c r="HP11" s="99" t="str">
        <f>IFERROR(IF(OR(JI11&gt;0,JJ11&gt;0,JK11&gt;0),"x",""),"")</f>
        <v/>
      </c>
      <c r="HQ11" s="99" t="str">
        <f>IFERROR(IF(OR(JL11&gt;0,JM11&gt;0,JN11&gt;0,JO11&gt;0),"x",""),"")</f>
        <v/>
      </c>
      <c r="HR11" s="63"/>
      <c r="HS11" s="63"/>
      <c r="HT11" s="63"/>
      <c r="HU11" s="63"/>
      <c r="HV11" s="63"/>
      <c r="HW11" s="63"/>
      <c r="HX11" s="63"/>
      <c r="HY11" s="63"/>
      <c r="HZ11" s="63"/>
      <c r="IA11" s="63"/>
      <c r="IB11" s="63"/>
      <c r="IC11" s="63"/>
      <c r="ID11" s="63"/>
      <c r="IE11" s="63"/>
      <c r="IF11" s="63"/>
      <c r="IG11" s="63"/>
      <c r="IH11" s="63"/>
      <c r="II11" s="63"/>
      <c r="IJ11" s="63"/>
      <c r="IK11" s="63"/>
      <c r="IL11" s="63"/>
      <c r="IM11" s="62"/>
      <c r="IN11" s="101"/>
      <c r="IO11" s="101"/>
      <c r="IP11" s="63"/>
      <c r="IQ11" s="63"/>
      <c r="IR11" s="63"/>
      <c r="IS11" s="63"/>
      <c r="IT11" s="63"/>
      <c r="IU11" s="63"/>
      <c r="IV11" s="63"/>
      <c r="IW11" s="63"/>
      <c r="IX11" s="63"/>
      <c r="IY11" s="63"/>
      <c r="IZ11" s="63"/>
      <c r="JA11" s="65">
        <f t="shared" ref="JA11:JA35" si="48">COUNTIF(IO11:IZ11,"&gt;=0.0")</f>
        <v>0</v>
      </c>
      <c r="JB11" s="63"/>
      <c r="JC11" s="101"/>
      <c r="JD11" s="101"/>
      <c r="JE11" s="63"/>
      <c r="JF11" s="63"/>
      <c r="JG11" s="63"/>
      <c r="JH11" s="63"/>
      <c r="JI11" s="63"/>
      <c r="JJ11" s="63"/>
      <c r="JK11" s="63"/>
      <c r="JL11" s="63"/>
      <c r="JM11" s="63"/>
      <c r="JN11" s="63"/>
      <c r="JO11" s="63"/>
      <c r="JP11" s="65">
        <f t="shared" si="29"/>
        <v>0</v>
      </c>
      <c r="JQ11" s="96"/>
      <c r="LM11" s="205"/>
      <c r="LN11" s="102">
        <f>IFERROR(ROWS($IL$8:IL11)," ")</f>
        <v>4</v>
      </c>
      <c r="LO11" s="103">
        <f>IFERROR(IF([1]Checklist!$C$3='GenInfo (2)'!E11,'GenInfo (2)'!LN11," ")," ")</f>
        <v>4</v>
      </c>
      <c r="LP11" s="104">
        <f>IFERROR(SMALL($LO$8:$LO$94,ROWS($IL$8:IL11))," ")</f>
        <v>4</v>
      </c>
      <c r="LQ11" s="102">
        <f>IFERROR(ROWS($IL$8:IL11)," ")</f>
        <v>4</v>
      </c>
      <c r="LR11" s="103" t="str">
        <f>IFERROR(IF([1]Checklist!$C$4='GenInfo (2)'!E11,'GenInfo (2)'!LQ11," ")," ")</f>
        <v xml:space="preserve"> </v>
      </c>
      <c r="LS11" s="104" t="str">
        <f>IFERROR(SMALL($LR$8:$LR$94,ROWS($IL$8:IL11))," ")</f>
        <v xml:space="preserve"> </v>
      </c>
      <c r="LT11" s="102">
        <f>IFERROR(ROWS($IL$8:IL11)," ")</f>
        <v>4</v>
      </c>
      <c r="LU11" s="103" t="str">
        <f>IFERROR(IF([1]Checklist!$C$5='GenInfo (2)'!E11,'GenInfo (2)'!LT11," ")," ")</f>
        <v xml:space="preserve"> </v>
      </c>
      <c r="LV11" s="104" t="str">
        <f>IFERROR(SMALL($LU$8:$LU$94,ROWS($IL$8:IL11))," ")</f>
        <v xml:space="preserve"> </v>
      </c>
      <c r="LW11" s="102">
        <f>IFERROR(ROWS($IL$8:IL11)," ")</f>
        <v>4</v>
      </c>
      <c r="LX11" s="103" t="str">
        <f>IFERROR(IF([1]Checklist!$C$6='GenInfo (2)'!E11,'GenInfo (2)'!LW11," ")," ")</f>
        <v xml:space="preserve"> </v>
      </c>
      <c r="LY11" s="104" t="str">
        <f>IFERROR(SMALL($LX$8:$LX$94,ROWS($IL$8:IL11))," ")</f>
        <v xml:space="preserve"> </v>
      </c>
      <c r="LZ11" s="102">
        <f>IFERROR(ROWS($IL$8:IL11)," ")</f>
        <v>4</v>
      </c>
      <c r="MA11" s="103" t="str">
        <f>IFERROR(IF([1]Checklist!$C$7='GenInfo (2)'!E11,'GenInfo (2)'!LZ11," ")," ")</f>
        <v xml:space="preserve"> </v>
      </c>
      <c r="MB11" s="104">
        <f>IFERROR(SMALL($MA$8:$MA$94,ROWS($IL$8:IL11))," ")</f>
        <v>16</v>
      </c>
      <c r="MC11" s="102">
        <f>IFERROR(ROWS($IL$8:IL11)," ")</f>
        <v>4</v>
      </c>
      <c r="MD11" s="103" t="str">
        <f>IFERROR(IF([1]Checklist!$C$8='GenInfo (2)'!E11,'GenInfo (2)'!MC11," ")," ")</f>
        <v xml:space="preserve"> </v>
      </c>
      <c r="ME11" s="104" t="str">
        <f>IFERROR(SMALL($MD$8:$MD$94,ROWS($IL$8:IL11))," ")</f>
        <v xml:space="preserve"> </v>
      </c>
      <c r="MF11" s="102">
        <f>IFERROR(ROWS($IL$8:IL11)," ")</f>
        <v>4</v>
      </c>
      <c r="MG11" s="103" t="str">
        <f>IFERROR(IF([1]Checklist!$C$9='GenInfo (2)'!E11,'GenInfo (2)'!MF11," ")," ")</f>
        <v xml:space="preserve"> </v>
      </c>
      <c r="MH11" s="104" t="str">
        <f>IFERROR(SMALL($MG$8:$MG$94,ROWS($IL$8:IL11))," ")</f>
        <v xml:space="preserve"> </v>
      </c>
      <c r="MI11" s="102">
        <f>IFERROR(ROWS($IL$8:$IL11)," ")</f>
        <v>4</v>
      </c>
      <c r="MJ11" s="103" t="str">
        <f>IFERROR(IF([1]Checklist!$C$10='GenInfo (2)'!E11,'GenInfo (2)'!MI11," ")," ")</f>
        <v xml:space="preserve"> </v>
      </c>
      <c r="MK11" s="104" t="str">
        <f>IFERROR(SMALL($MJ$8:$MJ$94,ROWS($IL$8:IL11))," ")</f>
        <v xml:space="preserve"> </v>
      </c>
      <c r="ML11" s="102">
        <f>IFERROR(ROWS($IL$8:IL11)," ")</f>
        <v>4</v>
      </c>
      <c r="MM11" s="103" t="str">
        <f>IFERROR(IF([1]Checklist!$C$11='GenInfo (2)'!E11,'GenInfo (2)'!ML11," ")," ")</f>
        <v xml:space="preserve"> </v>
      </c>
      <c r="MN11" s="104" t="str">
        <f>IFERROR(SMALL($MM$8:$MM$94,ROWS($IL$8:IL11))," ")</f>
        <v xml:space="preserve"> </v>
      </c>
      <c r="MO11" s="102">
        <f>IFERROR(ROWS($IL$8:IL11)," ")</f>
        <v>4</v>
      </c>
      <c r="MP11" s="103" t="str">
        <f>IFERROR(IF([1]Checklist!$C$12='GenInfo (2)'!E11,'GenInfo (2)'!MO11," ")," ")</f>
        <v xml:space="preserve"> </v>
      </c>
      <c r="MQ11" s="104" t="str">
        <f>IFERROR(SMALL($MP$8:$MP$94,ROWS($IL$8:IL11))," ")</f>
        <v xml:space="preserve"> </v>
      </c>
      <c r="MR11" s="102">
        <f>IFERROR(ROWS($IL$8:IL11)," ")</f>
        <v>4</v>
      </c>
      <c r="MS11" s="103" t="str">
        <f>IFERROR(IF([1]Checklist!$C$13='GenInfo (2)'!E11,'GenInfo (2)'!MR11," ")," ")</f>
        <v xml:space="preserve"> </v>
      </c>
      <c r="MT11" s="104">
        <f>IFERROR(SMALL($MS$8:$MS$94,ROWS($IL$8:IL11))," ")</f>
        <v>30</v>
      </c>
      <c r="MU11" s="102">
        <f>IFERROR(ROWS($IL$8:IL11)," ")</f>
        <v>4</v>
      </c>
      <c r="MV11" s="103" t="str">
        <f>IFERROR(IF([1]Checklist!$C$14='GenInfo (2)'!E11,'GenInfo (2)'!MU11," ")," ")</f>
        <v xml:space="preserve"> </v>
      </c>
      <c r="MW11" s="104" t="str">
        <f>IFERROR(SMALL($MV$8:$MV$94,ROWS($IL$8:IL11))," ")</f>
        <v xml:space="preserve"> </v>
      </c>
      <c r="MX11" s="102">
        <f>IFERROR(ROWS($IL$8:IL11)," ")</f>
        <v>4</v>
      </c>
      <c r="MY11" s="103" t="str">
        <f>IFERROR(IF([1]Checklist!$C$15='GenInfo (2)'!E11,'GenInfo (2)'!MX11," ")," ")</f>
        <v xml:space="preserve"> </v>
      </c>
      <c r="MZ11" s="104">
        <f>IFERROR(SMALL($MY$8:$MY$94,ROWS($IL$8:IL11))," ")</f>
        <v>37</v>
      </c>
      <c r="NA11" s="102">
        <f>IFERROR(ROWS($IL$8:IL11)," ")</f>
        <v>4</v>
      </c>
      <c r="NB11" s="103" t="str">
        <f>IFERROR(IF([1]Checklist!$C$16='GenInfo (2)'!E11,'GenInfo (2)'!NA11," ")," ")</f>
        <v xml:space="preserve"> </v>
      </c>
      <c r="NC11" s="104">
        <f>IFERROR(SMALL($NB$8:$NB$94,ROWS($IL$8:IL11))," ")</f>
        <v>45</v>
      </c>
      <c r="ND11" s="102">
        <f>IFERROR(ROWS($IL$8:IL11)," ")</f>
        <v>4</v>
      </c>
      <c r="NE11" s="103" t="str">
        <f>IFERROR(IF([1]Checklist!$C$17='GenInfo (2)'!E11,'GenInfo (2)'!ND11," ")," ")</f>
        <v xml:space="preserve"> </v>
      </c>
      <c r="NF11" s="104">
        <f>IFERROR(SMALL($NE$8:$NE$94,ROWS($IL$8:IL11))," ")</f>
        <v>49</v>
      </c>
    </row>
    <row r="12" spans="1:370" ht="28.5" x14ac:dyDescent="0.45">
      <c r="A12" s="37" t="s">
        <v>213</v>
      </c>
      <c r="B12" s="37">
        <v>27</v>
      </c>
      <c r="C12" s="146" t="s">
        <v>277</v>
      </c>
      <c r="D12" t="s">
        <v>278</v>
      </c>
      <c r="E12" s="106" t="s">
        <v>279</v>
      </c>
      <c r="F12" s="96" t="s">
        <v>280</v>
      </c>
      <c r="G12" s="107" t="s">
        <v>218</v>
      </c>
      <c r="H12" s="96"/>
      <c r="I12" s="140" t="s">
        <v>281</v>
      </c>
      <c r="J12" s="141" t="s">
        <v>282</v>
      </c>
      <c r="K12" s="142"/>
      <c r="L12" s="108" t="s">
        <v>221</v>
      </c>
      <c r="M12" s="108" t="s">
        <v>221</v>
      </c>
      <c r="N12" s="108"/>
      <c r="O12" s="109" t="s">
        <v>221</v>
      </c>
      <c r="P12" s="143"/>
      <c r="Q12" s="143"/>
      <c r="R12" s="96"/>
      <c r="S12" s="108"/>
      <c r="T12" s="96"/>
      <c r="U12" s="142"/>
      <c r="V12" s="110">
        <v>43509</v>
      </c>
      <c r="W12" s="110" t="s">
        <v>222</v>
      </c>
      <c r="X12" s="110"/>
      <c r="Y12" s="110"/>
      <c r="Z12" s="110"/>
      <c r="AA12" s="133"/>
      <c r="AB12" s="96" t="s">
        <v>283</v>
      </c>
      <c r="AC12" s="96" t="s">
        <v>284</v>
      </c>
      <c r="AD12" s="96"/>
      <c r="AE12" s="96" t="s">
        <v>285</v>
      </c>
      <c r="AF12" s="96" t="s">
        <v>286</v>
      </c>
      <c r="AG12" s="96"/>
      <c r="AH12" s="96" t="s">
        <v>287</v>
      </c>
      <c r="AI12" s="96" t="s">
        <v>230</v>
      </c>
      <c r="AJ12" s="96">
        <v>60827</v>
      </c>
      <c r="AK12" s="111"/>
      <c r="AL12" s="71">
        <f t="shared" si="36"/>
        <v>18</v>
      </c>
      <c r="AM12" s="71">
        <f t="shared" ca="1" si="37"/>
        <v>21</v>
      </c>
      <c r="AN12" s="108">
        <v>36572</v>
      </c>
      <c r="AO12" s="72" t="str">
        <f t="shared" ca="1" si="38"/>
        <v/>
      </c>
      <c r="AP12" s="96" t="s">
        <v>231</v>
      </c>
      <c r="AQ12" s="63" t="s">
        <v>264</v>
      </c>
      <c r="AR12" s="107" t="s">
        <v>288</v>
      </c>
      <c r="AS12" s="96"/>
      <c r="AT12" s="96"/>
      <c r="AU12" s="96"/>
      <c r="AV12" s="96"/>
      <c r="AW12" s="96"/>
      <c r="AX12" s="96" t="s">
        <v>289</v>
      </c>
      <c r="AY12" s="96" t="s">
        <v>235</v>
      </c>
      <c r="AZ12" s="96" t="s">
        <v>290</v>
      </c>
      <c r="BA12" s="96" t="s">
        <v>290</v>
      </c>
      <c r="BB12" s="96"/>
      <c r="BC12" s="107"/>
      <c r="BD12" s="112"/>
      <c r="BE12" s="71">
        <f t="shared" si="39"/>
        <v>6</v>
      </c>
      <c r="BF12" s="71">
        <f t="shared" si="39"/>
        <v>4</v>
      </c>
      <c r="BG12" s="71">
        <f t="shared" si="40"/>
        <v>2</v>
      </c>
      <c r="BH12" s="74">
        <f t="shared" si="41"/>
        <v>0.60416666666666663</v>
      </c>
      <c r="BI12" s="75">
        <f t="shared" si="42"/>
        <v>0.33333333333333331</v>
      </c>
      <c r="BJ12" s="71">
        <f t="shared" si="43"/>
        <v>4</v>
      </c>
      <c r="BK12" s="75">
        <f t="shared" si="44"/>
        <v>0.66666666666666663</v>
      </c>
      <c r="BL12" s="76">
        <f t="shared" si="45"/>
        <v>48</v>
      </c>
      <c r="BM12" s="77">
        <f t="shared" si="45"/>
        <v>288</v>
      </c>
      <c r="BN12" s="114"/>
      <c r="BO12" s="110"/>
      <c r="BP12" s="110"/>
      <c r="BQ12" s="115">
        <v>4</v>
      </c>
      <c r="BR12" s="115">
        <v>3</v>
      </c>
      <c r="BS12" s="74">
        <f t="shared" ref="BS12:BS35" si="49">IFERROR(BR12/BQ12," ")</f>
        <v>0.75</v>
      </c>
      <c r="BT12" s="79">
        <v>0</v>
      </c>
      <c r="BU12" s="79">
        <v>0</v>
      </c>
      <c r="BV12" s="80">
        <v>0</v>
      </c>
      <c r="BW12" s="81">
        <v>0</v>
      </c>
      <c r="BX12" s="116"/>
      <c r="BY12" s="117"/>
      <c r="BZ12" s="117"/>
      <c r="CA12" s="128">
        <v>7</v>
      </c>
      <c r="CB12" s="128">
        <v>1</v>
      </c>
      <c r="CC12" s="74">
        <f t="shared" ref="CC12:CC35" si="50">IFERROR(CB12/CA12," ")</f>
        <v>0.14285714285714285</v>
      </c>
      <c r="CD12" s="79">
        <v>0</v>
      </c>
      <c r="CE12" s="81">
        <v>0</v>
      </c>
      <c r="CF12" s="119"/>
      <c r="CG12" s="119"/>
      <c r="CH12" s="119"/>
      <c r="CI12" s="114">
        <v>8</v>
      </c>
      <c r="CJ12" s="114">
        <v>0</v>
      </c>
      <c r="CK12" s="74">
        <f t="shared" ref="CK12:CK35" si="51">IFERROR(CJ12/CI12," ")</f>
        <v>0</v>
      </c>
      <c r="CL12" s="79">
        <v>0</v>
      </c>
      <c r="CM12" s="79">
        <v>0</v>
      </c>
      <c r="CN12" s="86">
        <v>0</v>
      </c>
      <c r="CO12" s="81">
        <v>0</v>
      </c>
      <c r="CP12" s="120"/>
      <c r="CQ12" s="121"/>
      <c r="CR12" s="121"/>
      <c r="CS12" s="116">
        <v>13</v>
      </c>
      <c r="CT12" s="116">
        <v>0</v>
      </c>
      <c r="CU12" s="74">
        <f t="shared" ref="CU12:CU35" si="52">IFERROR(CT12/CS12," ")</f>
        <v>0</v>
      </c>
      <c r="CV12" s="79">
        <v>0</v>
      </c>
      <c r="CW12" s="79">
        <v>0</v>
      </c>
      <c r="CX12" s="88">
        <v>0</v>
      </c>
      <c r="CY12" s="81">
        <v>0</v>
      </c>
      <c r="CZ12" s="122"/>
      <c r="DA12" s="108"/>
      <c r="DB12" s="108"/>
      <c r="DC12" s="114">
        <v>3</v>
      </c>
      <c r="DD12" s="114">
        <v>3</v>
      </c>
      <c r="DE12" s="74">
        <f t="shared" ref="DE12:DE35" si="53">IFERROR(DD12/DC12," ")</f>
        <v>1</v>
      </c>
      <c r="DF12" s="79">
        <v>0</v>
      </c>
      <c r="DG12" s="79">
        <v>6</v>
      </c>
      <c r="DH12" s="79">
        <v>6</v>
      </c>
      <c r="DI12" s="81">
        <v>36</v>
      </c>
      <c r="DJ12" s="120"/>
      <c r="DK12" s="121"/>
      <c r="DL12" s="121"/>
      <c r="DM12" s="116">
        <v>8</v>
      </c>
      <c r="DN12" s="116">
        <v>5</v>
      </c>
      <c r="DO12" s="74">
        <f t="shared" ref="DO12:DO35" si="54">IFERROR(DN12/DM12," ")</f>
        <v>0.625</v>
      </c>
      <c r="DP12" s="79">
        <v>3</v>
      </c>
      <c r="DQ12" s="79">
        <v>2</v>
      </c>
      <c r="DR12" s="79">
        <v>5</v>
      </c>
      <c r="DS12" s="81">
        <v>30</v>
      </c>
      <c r="DT12" s="122"/>
      <c r="DU12" s="108"/>
      <c r="DV12" s="108"/>
      <c r="DW12" s="114">
        <v>12</v>
      </c>
      <c r="DX12" s="114">
        <v>12</v>
      </c>
      <c r="DY12" s="74">
        <f t="shared" ref="DY12:DY35" si="55">IFERROR(DX12/DW12," ")</f>
        <v>1</v>
      </c>
      <c r="DZ12" s="90">
        <v>10</v>
      </c>
      <c r="EA12" s="90">
        <v>13</v>
      </c>
      <c r="EB12" s="90">
        <v>23</v>
      </c>
      <c r="EC12" s="91">
        <v>138</v>
      </c>
      <c r="ED12" s="120"/>
      <c r="EE12" s="121"/>
      <c r="EF12" s="121"/>
      <c r="EG12" s="116">
        <v>6</v>
      </c>
      <c r="EH12" s="116">
        <v>6</v>
      </c>
      <c r="EI12" s="74">
        <f t="shared" si="46"/>
        <v>1</v>
      </c>
      <c r="EJ12" s="92">
        <v>12</v>
      </c>
      <c r="EK12" s="92">
        <v>2</v>
      </c>
      <c r="EL12" s="92">
        <v>14</v>
      </c>
      <c r="EM12" s="93">
        <v>84</v>
      </c>
      <c r="EN12" s="122"/>
      <c r="EO12" s="108"/>
      <c r="EP12" s="108"/>
      <c r="EQ12" s="114">
        <v>9</v>
      </c>
      <c r="ER12" s="114">
        <v>9</v>
      </c>
      <c r="ES12" s="74">
        <f t="shared" si="47"/>
        <v>1</v>
      </c>
      <c r="ET12" s="94">
        <v>16</v>
      </c>
      <c r="EU12" s="90"/>
      <c r="EV12" s="94">
        <v>16</v>
      </c>
      <c r="EW12" s="95">
        <v>96</v>
      </c>
      <c r="EX12" s="120"/>
      <c r="EY12" s="121"/>
      <c r="EZ12" s="121"/>
      <c r="FA12" s="116"/>
      <c r="FB12" s="116"/>
      <c r="FC12" s="74" t="str">
        <f t="shared" ref="FC12:FC35" si="56">IFERROR(FB12/FA12," ")</f>
        <v xml:space="preserve"> </v>
      </c>
      <c r="FD12" s="123"/>
      <c r="FE12" s="123"/>
      <c r="FF12" s="123"/>
      <c r="FG12" s="123"/>
      <c r="FH12" s="76">
        <f t="shared" ref="FH12:FH35" si="57">SUM(FD12:FG12)</f>
        <v>0</v>
      </c>
      <c r="FI12" s="122"/>
      <c r="FJ12" s="108"/>
      <c r="FK12" s="108"/>
      <c r="FL12" s="114"/>
      <c r="FM12" s="114"/>
      <c r="FN12" s="74" t="str">
        <f t="shared" ref="FN12:FN35" si="58">IFERROR(FM12/FL12," ")</f>
        <v xml:space="preserve"> </v>
      </c>
      <c r="FO12" s="90"/>
      <c r="FP12" s="90"/>
      <c r="FQ12" s="90"/>
      <c r="FR12" s="90"/>
      <c r="FS12" s="76">
        <f t="shared" ref="FS12:FS35" si="59">SUM(FO12:FR12)</f>
        <v>0</v>
      </c>
      <c r="FT12" s="120"/>
      <c r="FU12" s="121"/>
      <c r="FV12" s="121"/>
      <c r="FW12" s="116"/>
      <c r="FX12" s="116"/>
      <c r="FY12" s="74" t="str">
        <f t="shared" ref="FY12:FY35" si="60">IFERROR(FX12/FW12," ")</f>
        <v xml:space="preserve"> </v>
      </c>
      <c r="FZ12" s="123"/>
      <c r="GA12" s="123"/>
      <c r="GB12" s="123"/>
      <c r="GC12" s="123"/>
      <c r="GD12" s="76">
        <f t="shared" ref="GD12:GD35" si="61">SUM(FZ12:GC12)</f>
        <v>0</v>
      </c>
      <c r="GE12" s="129"/>
      <c r="GF12" s="96"/>
      <c r="GG12" s="96" t="s">
        <v>289</v>
      </c>
      <c r="GH12" s="79"/>
      <c r="GI12" s="63" t="s">
        <v>221</v>
      </c>
      <c r="GJ12" s="63" t="s">
        <v>221</v>
      </c>
      <c r="GK12" s="97">
        <f t="shared" si="24"/>
        <v>0</v>
      </c>
      <c r="GL12" s="63" t="s">
        <v>221</v>
      </c>
      <c r="GM12" s="79"/>
      <c r="GN12" s="97">
        <f t="shared" ref="GN12:GN16" si="62">IFERROR(SUM(GL12:GM12)," ")</f>
        <v>0</v>
      </c>
      <c r="GO12" s="97">
        <f t="shared" ref="GO12:GO35" si="63">IFERROR(GF12+GK12+GN12," ")</f>
        <v>0</v>
      </c>
      <c r="GP12" s="130"/>
      <c r="GQ12" s="96" t="s">
        <v>213</v>
      </c>
      <c r="GR12" s="96" t="s">
        <v>213</v>
      </c>
      <c r="GS12" s="96" t="s">
        <v>213</v>
      </c>
      <c r="GT12" s="96" t="s">
        <v>213</v>
      </c>
      <c r="GU12" s="96" t="s">
        <v>213</v>
      </c>
      <c r="GV12" s="96" t="s">
        <v>213</v>
      </c>
      <c r="GW12" s="96" t="s">
        <v>213</v>
      </c>
      <c r="GX12" s="96" t="s">
        <v>238</v>
      </c>
      <c r="GY12" s="65" t="str">
        <f t="shared" ref="GY12:GY13" si="64">IFERROR(IF(IN12&gt;0,"X",""),"")</f>
        <v>X</v>
      </c>
      <c r="GZ12" s="65" t="str">
        <f t="shared" ref="GZ12:GZ13" si="65">IFERROR(IF(JC12&gt;0,"X",""),"")</f>
        <v>X</v>
      </c>
      <c r="HA12" s="100" t="s">
        <v>289</v>
      </c>
      <c r="HB12" s="100" t="s">
        <v>289</v>
      </c>
      <c r="HC12" s="100"/>
      <c r="HD12" s="100"/>
      <c r="HE12" s="100"/>
      <c r="HF12" s="100"/>
      <c r="HG12" s="100" t="s">
        <v>213</v>
      </c>
      <c r="HH12" s="144">
        <v>2</v>
      </c>
      <c r="HI12" s="100">
        <v>0</v>
      </c>
      <c r="HJ12" s="100">
        <v>0</v>
      </c>
      <c r="HK12" s="100">
        <v>0</v>
      </c>
      <c r="HL12" s="65" t="str">
        <f>IFERROR(IF(OR(IQ12&gt;0,IR12&gt;0,IS12&gt;0),"x",""),"")</f>
        <v>x</v>
      </c>
      <c r="HM12" s="65" t="str">
        <f t="shared" ref="HM12:HM35" si="66">IFERROR(IF(OR(IT12&gt;0,IU12&gt;0,IV12&gt;0),"x",""),"")</f>
        <v/>
      </c>
      <c r="HN12" s="65" t="s">
        <v>239</v>
      </c>
      <c r="HO12" s="65" t="str">
        <f>IFERROR(IF(OR(JE12&gt;0,JF12&gt;0,JG12&gt;0,JH12&gt;0),"x",""),"")</f>
        <v>x</v>
      </c>
      <c r="HP12" s="65" t="str">
        <f t="shared" ref="HP12:HP18" si="67">IFERROR(IF(OR(JI12&gt;0,JJ12&gt;0,JK12&gt;0),"x",""),"")</f>
        <v/>
      </c>
      <c r="HQ12" s="99" t="s">
        <v>239</v>
      </c>
      <c r="HR12" s="96" t="s">
        <v>289</v>
      </c>
      <c r="HS12" s="96" t="s">
        <v>289</v>
      </c>
      <c r="HT12" s="96" t="s">
        <v>289</v>
      </c>
      <c r="HU12" s="96" t="s">
        <v>289</v>
      </c>
      <c r="HV12" s="96" t="s">
        <v>289</v>
      </c>
      <c r="HW12" s="96"/>
      <c r="HX12" s="96" t="s">
        <v>289</v>
      </c>
      <c r="HY12" s="96" t="s">
        <v>289</v>
      </c>
      <c r="HZ12" s="96" t="s">
        <v>213</v>
      </c>
      <c r="IA12" s="96" t="s">
        <v>213</v>
      </c>
      <c r="IB12" s="96"/>
      <c r="IC12" s="96" t="s">
        <v>213</v>
      </c>
      <c r="ID12" s="63" t="s">
        <v>240</v>
      </c>
      <c r="IE12" s="100" t="s">
        <v>213</v>
      </c>
      <c r="IF12" s="100" t="s">
        <v>213</v>
      </c>
      <c r="IG12" s="100" t="s">
        <v>213</v>
      </c>
      <c r="IH12" s="100" t="s">
        <v>213</v>
      </c>
      <c r="II12" s="100" t="s">
        <v>213</v>
      </c>
      <c r="IJ12" s="100" t="s">
        <v>213</v>
      </c>
      <c r="IK12" s="100" t="s">
        <v>213</v>
      </c>
      <c r="IL12" s="100" t="s">
        <v>213</v>
      </c>
      <c r="IM12" s="111"/>
      <c r="IN12" s="125">
        <v>9.6</v>
      </c>
      <c r="IO12" s="125"/>
      <c r="IP12" s="96"/>
      <c r="IQ12" s="96"/>
      <c r="IR12" s="96"/>
      <c r="IS12" s="96">
        <v>12</v>
      </c>
      <c r="IT12" s="96"/>
      <c r="IU12" s="96"/>
      <c r="IV12" s="96"/>
      <c r="IW12" s="96"/>
      <c r="IX12" s="96"/>
      <c r="IY12" s="96"/>
      <c r="IZ12" s="96"/>
      <c r="JA12" s="65">
        <f t="shared" si="48"/>
        <v>1</v>
      </c>
      <c r="JB12" s="96"/>
      <c r="JC12" s="125">
        <v>9.5</v>
      </c>
      <c r="JD12" s="125"/>
      <c r="JE12" s="96"/>
      <c r="JF12" s="96"/>
      <c r="JG12" s="96"/>
      <c r="JH12" s="96">
        <v>10</v>
      </c>
      <c r="JI12" s="96"/>
      <c r="JJ12" s="96"/>
      <c r="JK12" s="96"/>
      <c r="JL12" s="96"/>
      <c r="JM12" s="96"/>
      <c r="JN12" s="96"/>
      <c r="JO12" s="96"/>
      <c r="JP12" s="65">
        <f t="shared" si="29"/>
        <v>1</v>
      </c>
      <c r="JQ12" s="96"/>
      <c r="LM12" s="205"/>
      <c r="LN12" s="102">
        <f>IFERROR(ROWS($IL$8:IL12)," ")</f>
        <v>5</v>
      </c>
      <c r="LO12" s="103" t="str">
        <f>IFERROR(IF([1]Checklist!$C$3='GenInfo (2)'!E12,'GenInfo (2)'!LN12," ")," ")</f>
        <v xml:space="preserve"> </v>
      </c>
      <c r="LP12" s="104" t="str">
        <f>IFERROR(SMALL($LO$8:$LO$94,ROWS($IL$8:IL12))," ")</f>
        <v xml:space="preserve"> </v>
      </c>
      <c r="LQ12" s="102">
        <f>IFERROR(ROWS($IL$8:IL12)," ")</f>
        <v>5</v>
      </c>
      <c r="LR12" s="103">
        <f>IFERROR(IF([1]Checklist!$C$4='GenInfo (2)'!E12,'GenInfo (2)'!LQ12," ")," ")</f>
        <v>5</v>
      </c>
      <c r="LS12" s="104" t="str">
        <f>IFERROR(SMALL($LR$8:$LR$94,ROWS($IL$8:IL12))," ")</f>
        <v xml:space="preserve"> </v>
      </c>
      <c r="LT12" s="102">
        <f>IFERROR(ROWS($IL$8:IL12)," ")</f>
        <v>5</v>
      </c>
      <c r="LU12" s="103" t="str">
        <f>IFERROR(IF([1]Checklist!$C$5='GenInfo (2)'!E12,'GenInfo (2)'!LT12," ")," ")</f>
        <v xml:space="preserve"> </v>
      </c>
      <c r="LV12" s="104" t="str">
        <f>IFERROR(SMALL($LU$8:$LU$94,ROWS($IL$8:IL12))," ")</f>
        <v xml:space="preserve"> </v>
      </c>
      <c r="LW12" s="102">
        <f>IFERROR(ROWS($IL$8:IL12)," ")</f>
        <v>5</v>
      </c>
      <c r="LX12" s="103" t="str">
        <f>IFERROR(IF([1]Checklist!$C$6='GenInfo (2)'!E12,'GenInfo (2)'!LW12," ")," ")</f>
        <v xml:space="preserve"> </v>
      </c>
      <c r="LY12" s="104" t="str">
        <f>IFERROR(SMALL($LX$8:$LX$94,ROWS($IL$8:IL12))," ")</f>
        <v xml:space="preserve"> </v>
      </c>
      <c r="LZ12" s="102">
        <f>IFERROR(ROWS($IL$8:IL12)," ")</f>
        <v>5</v>
      </c>
      <c r="MA12" s="103" t="str">
        <f>IFERROR(IF([1]Checklist!$C$7='GenInfo (2)'!E12,'GenInfo (2)'!LZ12," ")," ")</f>
        <v xml:space="preserve"> </v>
      </c>
      <c r="MB12" s="104" t="str">
        <f>IFERROR(SMALL($MA$8:$MA$94,ROWS($IL$8:IL12))," ")</f>
        <v xml:space="preserve"> </v>
      </c>
      <c r="MC12" s="102">
        <f>IFERROR(ROWS($IL$8:IL12)," ")</f>
        <v>5</v>
      </c>
      <c r="MD12" s="103" t="str">
        <f>IFERROR(IF([1]Checklist!$C$8='GenInfo (2)'!E12,'GenInfo (2)'!MC12," ")," ")</f>
        <v xml:space="preserve"> </v>
      </c>
      <c r="ME12" s="104" t="str">
        <f>IFERROR(SMALL($MD$8:$MD$94,ROWS($IL$8:IL12))," ")</f>
        <v xml:space="preserve"> </v>
      </c>
      <c r="MF12" s="102">
        <f>IFERROR(ROWS($IL$8:IL12)," ")</f>
        <v>5</v>
      </c>
      <c r="MG12" s="103" t="str">
        <f>IFERROR(IF([1]Checklist!$C$9='GenInfo (2)'!E12,'GenInfo (2)'!MF12," ")," ")</f>
        <v xml:space="preserve"> </v>
      </c>
      <c r="MH12" s="104" t="str">
        <f>IFERROR(SMALL($MG$8:$MG$94,ROWS($IL$8:IL12))," ")</f>
        <v xml:space="preserve"> </v>
      </c>
      <c r="MI12" s="102">
        <f>IFERROR(ROWS($IL$8:$IL12)," ")</f>
        <v>5</v>
      </c>
      <c r="MJ12" s="103" t="str">
        <f>IFERROR(IF([1]Checklist!$C$10='GenInfo (2)'!E12,'GenInfo (2)'!MI12," ")," ")</f>
        <v xml:space="preserve"> </v>
      </c>
      <c r="MK12" s="104" t="str">
        <f>IFERROR(SMALL($MJ$8:$MJ$94,ROWS($IL$8:IL12))," ")</f>
        <v xml:space="preserve"> </v>
      </c>
      <c r="ML12" s="102">
        <f>IFERROR(ROWS($IL$8:IL12)," ")</f>
        <v>5</v>
      </c>
      <c r="MM12" s="103" t="str">
        <f>IFERROR(IF([1]Checklist!$C$11='GenInfo (2)'!E12,'GenInfo (2)'!ML12," ")," ")</f>
        <v xml:space="preserve"> </v>
      </c>
      <c r="MN12" s="104" t="str">
        <f>IFERROR(SMALL($MM$8:$MM$94,ROWS($IL$8:IL12))," ")</f>
        <v xml:space="preserve"> </v>
      </c>
      <c r="MO12" s="102">
        <f>IFERROR(ROWS($IL$8:IL12)," ")</f>
        <v>5</v>
      </c>
      <c r="MP12" s="103" t="str">
        <f>IFERROR(IF([1]Checklist!$C$12='GenInfo (2)'!E12,'GenInfo (2)'!MO12," ")," ")</f>
        <v xml:space="preserve"> </v>
      </c>
      <c r="MQ12" s="104" t="str">
        <f>IFERROR(SMALL($MP$8:$MP$94,ROWS($IL$8:IL12))," ")</f>
        <v xml:space="preserve"> </v>
      </c>
      <c r="MR12" s="102">
        <f>IFERROR(ROWS($IL$8:IL12)," ")</f>
        <v>5</v>
      </c>
      <c r="MS12" s="103" t="str">
        <f>IFERROR(IF([1]Checklist!$C$13='GenInfo (2)'!E12,'GenInfo (2)'!MR12," ")," ")</f>
        <v xml:space="preserve"> </v>
      </c>
      <c r="MT12" s="104" t="str">
        <f>IFERROR(SMALL($MS$8:$MS$94,ROWS($IL$8:IL12))," ")</f>
        <v xml:space="preserve"> </v>
      </c>
      <c r="MU12" s="102">
        <f>IFERROR(ROWS($IL$8:IL12)," ")</f>
        <v>5</v>
      </c>
      <c r="MV12" s="103" t="str">
        <f>IFERROR(IF([1]Checklist!$C$14='GenInfo (2)'!E12,'GenInfo (2)'!MU12," ")," ")</f>
        <v xml:space="preserve"> </v>
      </c>
      <c r="MW12" s="104" t="str">
        <f>IFERROR(SMALL($MV$8:$MV$94,ROWS($IL$8:IL12))," ")</f>
        <v xml:space="preserve"> </v>
      </c>
      <c r="MX12" s="102">
        <f>IFERROR(ROWS($IL$8:IL12)," ")</f>
        <v>5</v>
      </c>
      <c r="MY12" s="103" t="str">
        <f>IFERROR(IF([1]Checklist!$C$15='GenInfo (2)'!E12,'GenInfo (2)'!MX12," ")," ")</f>
        <v xml:space="preserve"> </v>
      </c>
      <c r="MZ12" s="104">
        <f>IFERROR(SMALL($MY$8:$MY$94,ROWS($IL$8:IL12))," ")</f>
        <v>38</v>
      </c>
      <c r="NA12" s="102">
        <f>IFERROR(ROWS($IL$8:IL12)," ")</f>
        <v>5</v>
      </c>
      <c r="NB12" s="103" t="str">
        <f>IFERROR(IF([1]Checklist!$C$16='GenInfo (2)'!E12,'GenInfo (2)'!NA12," ")," ")</f>
        <v xml:space="preserve"> </v>
      </c>
      <c r="NC12" s="104" t="str">
        <f>IFERROR(SMALL($NB$8:$NB$94,ROWS($IL$8:IL12))," ")</f>
        <v xml:space="preserve"> </v>
      </c>
      <c r="ND12" s="102">
        <f>IFERROR(ROWS($IL$8:IL12)," ")</f>
        <v>5</v>
      </c>
      <c r="NE12" s="103" t="str">
        <f>IFERROR(IF([1]Checklist!$C$17='GenInfo (2)'!E12,'GenInfo (2)'!ND12," ")," ")</f>
        <v xml:space="preserve"> </v>
      </c>
      <c r="NF12" s="104">
        <f>IFERROR(SMALL($NE$8:$NE$94,ROWS($IL$8:IL12))," ")</f>
        <v>50</v>
      </c>
    </row>
    <row r="13" spans="1:370" ht="28.5" x14ac:dyDescent="0.45">
      <c r="A13" s="37" t="s">
        <v>213</v>
      </c>
      <c r="B13" s="37">
        <v>28</v>
      </c>
      <c r="C13" s="146" t="s">
        <v>291</v>
      </c>
      <c r="D13" t="s">
        <v>292</v>
      </c>
      <c r="E13" s="64" t="s">
        <v>279</v>
      </c>
      <c r="F13" s="63" t="s">
        <v>293</v>
      </c>
      <c r="G13" s="64" t="s">
        <v>294</v>
      </c>
      <c r="H13" s="63"/>
      <c r="I13" s="137" t="s">
        <v>295</v>
      </c>
      <c r="J13" s="63" t="s">
        <v>296</v>
      </c>
      <c r="K13" s="62"/>
      <c r="L13" s="67">
        <v>43732</v>
      </c>
      <c r="M13" s="67">
        <v>43781</v>
      </c>
      <c r="N13" s="67" t="s">
        <v>213</v>
      </c>
      <c r="O13" s="68">
        <v>43770</v>
      </c>
      <c r="P13" s="67">
        <v>43781</v>
      </c>
      <c r="Q13" s="67"/>
      <c r="R13" s="63" t="s">
        <v>297</v>
      </c>
      <c r="S13" s="67"/>
      <c r="T13" s="63"/>
      <c r="U13" s="62"/>
      <c r="V13" s="67">
        <v>43796</v>
      </c>
      <c r="W13" s="67">
        <v>43866</v>
      </c>
      <c r="X13" s="69" t="s">
        <v>298</v>
      </c>
      <c r="Y13" s="63"/>
      <c r="Z13" s="69"/>
      <c r="AA13" s="62"/>
      <c r="AB13" s="63" t="s">
        <v>299</v>
      </c>
      <c r="AC13" s="63" t="s">
        <v>300</v>
      </c>
      <c r="AD13" s="126" t="s">
        <v>301</v>
      </c>
      <c r="AE13" s="63" t="s">
        <v>302</v>
      </c>
      <c r="AF13" s="63" t="s">
        <v>303</v>
      </c>
      <c r="AG13" s="63"/>
      <c r="AH13" s="63" t="s">
        <v>251</v>
      </c>
      <c r="AI13" s="63" t="s">
        <v>230</v>
      </c>
      <c r="AJ13" s="63">
        <v>60657</v>
      </c>
      <c r="AK13" s="62"/>
      <c r="AL13" s="71">
        <f t="shared" si="36"/>
        <v>20</v>
      </c>
      <c r="AM13" s="71">
        <f t="shared" ca="1" si="37"/>
        <v>23</v>
      </c>
      <c r="AN13" s="67">
        <v>36159</v>
      </c>
      <c r="AO13" s="72" t="str">
        <f t="shared" ca="1" si="38"/>
        <v/>
      </c>
      <c r="AP13" s="63" t="s">
        <v>231</v>
      </c>
      <c r="AQ13" s="63" t="s">
        <v>264</v>
      </c>
      <c r="AR13" s="70" t="s">
        <v>288</v>
      </c>
      <c r="AS13" s="63" t="s">
        <v>265</v>
      </c>
      <c r="AT13" s="63" t="s">
        <v>265</v>
      </c>
      <c r="AU13" s="63">
        <v>3</v>
      </c>
      <c r="AV13" s="63">
        <v>5</v>
      </c>
      <c r="AW13" s="63">
        <v>548</v>
      </c>
      <c r="AX13" s="63" t="s">
        <v>289</v>
      </c>
      <c r="AY13" s="63" t="s">
        <v>290</v>
      </c>
      <c r="AZ13" s="63" t="s">
        <v>290</v>
      </c>
      <c r="BA13" s="63" t="s">
        <v>290</v>
      </c>
      <c r="BB13" s="63"/>
      <c r="BC13" s="63">
        <v>1</v>
      </c>
      <c r="BD13" s="112"/>
      <c r="BE13" s="71">
        <f t="shared" si="39"/>
        <v>2</v>
      </c>
      <c r="BF13" s="71">
        <f t="shared" si="39"/>
        <v>1</v>
      </c>
      <c r="BG13" s="71">
        <f t="shared" si="40"/>
        <v>1</v>
      </c>
      <c r="BH13" s="74">
        <f t="shared" si="41"/>
        <v>0.5</v>
      </c>
      <c r="BI13" s="75">
        <f t="shared" si="42"/>
        <v>0.5</v>
      </c>
      <c r="BJ13" s="71">
        <f t="shared" si="43"/>
        <v>0</v>
      </c>
      <c r="BK13" s="75">
        <f t="shared" si="44"/>
        <v>0</v>
      </c>
      <c r="BL13" s="76">
        <f t="shared" si="45"/>
        <v>0</v>
      </c>
      <c r="BM13" s="77">
        <f t="shared" si="45"/>
        <v>0</v>
      </c>
      <c r="BN13" s="78"/>
      <c r="BO13" s="67"/>
      <c r="BP13" s="67"/>
      <c r="BQ13" s="63"/>
      <c r="BR13" s="63"/>
      <c r="BS13" s="74" t="str">
        <f t="shared" si="49"/>
        <v xml:space="preserve"> </v>
      </c>
      <c r="BT13" s="79">
        <v>0</v>
      </c>
      <c r="BU13" s="79">
        <v>0</v>
      </c>
      <c r="BV13" s="80">
        <v>0</v>
      </c>
      <c r="BW13" s="81">
        <v>0</v>
      </c>
      <c r="BX13" s="82"/>
      <c r="BY13" s="83"/>
      <c r="BZ13" s="83"/>
      <c r="CA13" s="84"/>
      <c r="CB13" s="84"/>
      <c r="CC13" s="74" t="str">
        <f t="shared" si="50"/>
        <v xml:space="preserve"> </v>
      </c>
      <c r="CD13" s="79">
        <v>0</v>
      </c>
      <c r="CE13" s="81">
        <v>0</v>
      </c>
      <c r="CF13" s="85"/>
      <c r="CG13" s="85"/>
      <c r="CH13" s="85"/>
      <c r="CI13" s="78"/>
      <c r="CJ13" s="78"/>
      <c r="CK13" s="74" t="str">
        <f t="shared" si="51"/>
        <v xml:space="preserve"> </v>
      </c>
      <c r="CL13" s="79">
        <v>0</v>
      </c>
      <c r="CM13" s="79">
        <v>0</v>
      </c>
      <c r="CN13" s="86">
        <v>0</v>
      </c>
      <c r="CO13" s="81">
        <v>0</v>
      </c>
      <c r="CP13" s="87"/>
      <c r="CQ13" s="83"/>
      <c r="CR13" s="83"/>
      <c r="CS13" s="82"/>
      <c r="CT13" s="82"/>
      <c r="CU13" s="74" t="str">
        <f t="shared" si="52"/>
        <v xml:space="preserve"> </v>
      </c>
      <c r="CV13" s="79">
        <v>0</v>
      </c>
      <c r="CW13" s="79">
        <v>0</v>
      </c>
      <c r="CX13" s="88">
        <v>0</v>
      </c>
      <c r="CY13" s="81">
        <v>0</v>
      </c>
      <c r="CZ13" s="89"/>
      <c r="DA13" s="67"/>
      <c r="DB13" s="67"/>
      <c r="DC13" s="78">
        <v>2</v>
      </c>
      <c r="DD13" s="78">
        <v>2</v>
      </c>
      <c r="DE13" s="74">
        <f t="shared" si="53"/>
        <v>1</v>
      </c>
      <c r="DF13" s="79">
        <v>0</v>
      </c>
      <c r="DG13" s="79">
        <v>0</v>
      </c>
      <c r="DH13" s="79">
        <v>0</v>
      </c>
      <c r="DI13" s="81">
        <v>0</v>
      </c>
      <c r="DJ13" s="87"/>
      <c r="DK13" s="83"/>
      <c r="DL13" s="83"/>
      <c r="DM13" s="82"/>
      <c r="DN13" s="82"/>
      <c r="DO13" s="74" t="str">
        <f t="shared" si="54"/>
        <v xml:space="preserve"> </v>
      </c>
      <c r="DP13" s="79">
        <v>0</v>
      </c>
      <c r="DQ13" s="79">
        <v>0</v>
      </c>
      <c r="DR13" s="79">
        <v>0</v>
      </c>
      <c r="DS13" s="81">
        <v>0</v>
      </c>
      <c r="DT13" s="89"/>
      <c r="DU13" s="67"/>
      <c r="DV13" s="67"/>
      <c r="DW13" s="78">
        <v>8</v>
      </c>
      <c r="DX13" s="78">
        <v>0</v>
      </c>
      <c r="DY13" s="74">
        <f t="shared" si="55"/>
        <v>0</v>
      </c>
      <c r="DZ13" s="90">
        <v>0</v>
      </c>
      <c r="EA13" s="90">
        <v>0</v>
      </c>
      <c r="EB13" s="90">
        <v>0</v>
      </c>
      <c r="EC13" s="91">
        <v>0</v>
      </c>
      <c r="ED13" s="87"/>
      <c r="EE13" s="83"/>
      <c r="EF13" s="83"/>
      <c r="EG13" s="82"/>
      <c r="EH13" s="82"/>
      <c r="EI13" s="74" t="str">
        <f t="shared" si="46"/>
        <v xml:space="preserve"> </v>
      </c>
      <c r="EJ13" s="92">
        <v>0</v>
      </c>
      <c r="EK13" s="92">
        <v>0</v>
      </c>
      <c r="EL13" s="92">
        <v>0</v>
      </c>
      <c r="EM13" s="93">
        <v>0</v>
      </c>
      <c r="EN13" s="89"/>
      <c r="EO13" s="67"/>
      <c r="EP13" s="67"/>
      <c r="EQ13" s="78"/>
      <c r="ER13" s="78"/>
      <c r="ES13" s="74" t="str">
        <f t="shared" si="47"/>
        <v xml:space="preserve"> </v>
      </c>
      <c r="ET13" s="94">
        <v>0</v>
      </c>
      <c r="EU13" s="94"/>
      <c r="EV13" s="94">
        <v>0</v>
      </c>
      <c r="EW13" s="95">
        <v>0</v>
      </c>
      <c r="EX13" s="87"/>
      <c r="EY13" s="83"/>
      <c r="EZ13" s="83"/>
      <c r="FA13" s="82"/>
      <c r="FB13" s="82"/>
      <c r="FC13" s="74" t="str">
        <f t="shared" si="56"/>
        <v xml:space="preserve"> </v>
      </c>
      <c r="FD13" s="92"/>
      <c r="FE13" s="92"/>
      <c r="FF13" s="92"/>
      <c r="FG13" s="92"/>
      <c r="FH13" s="76">
        <f t="shared" si="57"/>
        <v>0</v>
      </c>
      <c r="FI13" s="89"/>
      <c r="FJ13" s="67"/>
      <c r="FK13" s="67"/>
      <c r="FL13" s="78"/>
      <c r="FM13" s="78"/>
      <c r="FN13" s="74" t="str">
        <f t="shared" si="58"/>
        <v xml:space="preserve"> </v>
      </c>
      <c r="FO13" s="94"/>
      <c r="FP13" s="94"/>
      <c r="FQ13" s="94"/>
      <c r="FR13" s="94"/>
      <c r="FS13" s="76">
        <f t="shared" si="59"/>
        <v>0</v>
      </c>
      <c r="FT13" s="87"/>
      <c r="FU13" s="83"/>
      <c r="FV13" s="83"/>
      <c r="FW13" s="82"/>
      <c r="FX13" s="82"/>
      <c r="FY13" s="74" t="str">
        <f t="shared" si="60"/>
        <v xml:space="preserve"> </v>
      </c>
      <c r="FZ13" s="92"/>
      <c r="GA13" s="92"/>
      <c r="GB13" s="92"/>
      <c r="GC13" s="92"/>
      <c r="GD13" s="76">
        <f t="shared" si="61"/>
        <v>0</v>
      </c>
      <c r="GE13" s="129"/>
      <c r="GF13" s="96" t="s">
        <v>221</v>
      </c>
      <c r="GG13" s="96" t="s">
        <v>289</v>
      </c>
      <c r="GH13" s="63"/>
      <c r="GI13" s="63" t="s">
        <v>221</v>
      </c>
      <c r="GJ13" s="63" t="s">
        <v>221</v>
      </c>
      <c r="GK13" s="97">
        <f t="shared" si="24"/>
        <v>0</v>
      </c>
      <c r="GL13" s="63" t="s">
        <v>221</v>
      </c>
      <c r="GM13" s="98"/>
      <c r="GN13" s="97">
        <f t="shared" si="62"/>
        <v>0</v>
      </c>
      <c r="GO13" s="97" t="str">
        <f t="shared" si="63"/>
        <v xml:space="preserve"> </v>
      </c>
      <c r="GP13" s="62"/>
      <c r="GQ13" s="63" t="s">
        <v>213</v>
      </c>
      <c r="GR13" s="63" t="s">
        <v>213</v>
      </c>
      <c r="GS13" s="63" t="s">
        <v>213</v>
      </c>
      <c r="GT13" s="63" t="s">
        <v>213</v>
      </c>
      <c r="GU13" s="63" t="s">
        <v>213</v>
      </c>
      <c r="GV13" s="63" t="s">
        <v>213</v>
      </c>
      <c r="GW13" s="63" t="s">
        <v>213</v>
      </c>
      <c r="GX13" s="63" t="s">
        <v>213</v>
      </c>
      <c r="GY13" s="65" t="str">
        <f t="shared" si="64"/>
        <v>X</v>
      </c>
      <c r="GZ13" s="65" t="str">
        <f t="shared" si="65"/>
        <v>X</v>
      </c>
      <c r="HA13" s="63" t="s">
        <v>289</v>
      </c>
      <c r="HB13" s="63" t="s">
        <v>289</v>
      </c>
      <c r="HC13" s="63" t="s">
        <v>213</v>
      </c>
      <c r="HD13" s="63" t="s">
        <v>213</v>
      </c>
      <c r="HE13" s="63" t="s">
        <v>237</v>
      </c>
      <c r="HF13" s="63" t="s">
        <v>237</v>
      </c>
      <c r="HG13" s="63" t="s">
        <v>213</v>
      </c>
      <c r="HH13" s="63"/>
      <c r="HI13" s="63"/>
      <c r="HJ13" s="63"/>
      <c r="HK13" s="63"/>
      <c r="HL13" s="65" t="s">
        <v>239</v>
      </c>
      <c r="HM13" s="65" t="str">
        <f t="shared" si="66"/>
        <v>x</v>
      </c>
      <c r="HN13" s="65" t="str">
        <f>IFERROR(IF(OR(IW13&gt;0,IX13&gt;0,IY13&gt;0,IZ13&gt;0),"x",""),"")</f>
        <v/>
      </c>
      <c r="HO13" s="65" t="s">
        <v>239</v>
      </c>
      <c r="HP13" s="99" t="str">
        <f t="shared" si="67"/>
        <v>x</v>
      </c>
      <c r="HQ13" s="99" t="str">
        <f>IFERROR(IF(OR(JL13&gt;0,JM13&gt;0,JN13&gt;0,JO13&gt;0),"x",""),"")</f>
        <v/>
      </c>
      <c r="HR13" s="96" t="s">
        <v>289</v>
      </c>
      <c r="HS13" s="96" t="s">
        <v>289</v>
      </c>
      <c r="HT13" s="96" t="s">
        <v>289</v>
      </c>
      <c r="HU13" s="96" t="s">
        <v>289</v>
      </c>
      <c r="HV13" s="96" t="s">
        <v>289</v>
      </c>
      <c r="HW13" s="63"/>
      <c r="HX13" s="96" t="s">
        <v>289</v>
      </c>
      <c r="HY13" s="96" t="s">
        <v>289</v>
      </c>
      <c r="HZ13" s="63"/>
      <c r="IA13" s="63"/>
      <c r="IB13" s="63"/>
      <c r="IC13" s="63" t="s">
        <v>213</v>
      </c>
      <c r="ID13" s="63"/>
      <c r="IE13" s="63"/>
      <c r="IF13" s="63"/>
      <c r="IG13" s="63"/>
      <c r="IH13" s="63"/>
      <c r="II13" s="63"/>
      <c r="IJ13" s="63"/>
      <c r="IK13" s="63"/>
      <c r="IL13" s="63"/>
      <c r="IM13" s="62"/>
      <c r="IN13" s="101">
        <v>4.2</v>
      </c>
      <c r="IO13" s="101"/>
      <c r="IP13" s="63"/>
      <c r="IQ13" s="63"/>
      <c r="IR13" s="63"/>
      <c r="IS13" s="63"/>
      <c r="IT13" s="63">
        <v>4.2</v>
      </c>
      <c r="IU13" s="63"/>
      <c r="IV13" s="63"/>
      <c r="IW13" s="63"/>
      <c r="IX13" s="63"/>
      <c r="IY13" s="63"/>
      <c r="IZ13" s="63"/>
      <c r="JA13" s="65">
        <f t="shared" si="48"/>
        <v>1</v>
      </c>
      <c r="JB13" s="63"/>
      <c r="JC13" s="101">
        <v>7.6</v>
      </c>
      <c r="JD13" s="101"/>
      <c r="JE13" s="63"/>
      <c r="JF13" s="63"/>
      <c r="JG13" s="63"/>
      <c r="JH13" s="63"/>
      <c r="JI13" s="63">
        <v>7.6</v>
      </c>
      <c r="JJ13" s="63"/>
      <c r="JK13" s="63"/>
      <c r="JL13" s="63"/>
      <c r="JM13" s="63"/>
      <c r="JN13" s="96"/>
      <c r="JO13" s="63"/>
      <c r="JP13" s="65">
        <f t="shared" si="29"/>
        <v>1</v>
      </c>
      <c r="JQ13" s="96"/>
      <c r="LM13" s="205"/>
      <c r="LN13" s="102">
        <f>IFERROR(ROWS($IL$8:IL13)," ")</f>
        <v>6</v>
      </c>
      <c r="LO13" s="103" t="str">
        <f>IFERROR(IF([1]Checklist!$C$3='GenInfo (2)'!E13,'GenInfo (2)'!LN13," ")," ")</f>
        <v xml:space="preserve"> </v>
      </c>
      <c r="LP13" s="104" t="str">
        <f>IFERROR(SMALL($LO$8:$LO$94,ROWS($IL$8:IL13))," ")</f>
        <v xml:space="preserve"> </v>
      </c>
      <c r="LQ13" s="102">
        <f>IFERROR(ROWS($IL$8:IL13)," ")</f>
        <v>6</v>
      </c>
      <c r="LR13" s="103">
        <f>IFERROR(IF([1]Checklist!$C$4='GenInfo (2)'!E13,'GenInfo (2)'!LQ13," ")," ")</f>
        <v>6</v>
      </c>
      <c r="LS13" s="104" t="str">
        <f>IFERROR(SMALL($LR$8:$LR$94,ROWS($IL$8:IL13))," ")</f>
        <v xml:space="preserve"> </v>
      </c>
      <c r="LT13" s="102">
        <f>IFERROR(ROWS($IL$8:IL13)," ")</f>
        <v>6</v>
      </c>
      <c r="LU13" s="103" t="str">
        <f>IFERROR(IF([1]Checklist!$C$5='GenInfo (2)'!E13,'GenInfo (2)'!LT13," ")," ")</f>
        <v xml:space="preserve"> </v>
      </c>
      <c r="LV13" s="104" t="str">
        <f>IFERROR(SMALL($LU$8:$LU$94,ROWS($IL$8:IL13))," ")</f>
        <v xml:space="preserve"> </v>
      </c>
      <c r="LW13" s="102">
        <f>IFERROR(ROWS($IL$8:IL13)," ")</f>
        <v>6</v>
      </c>
      <c r="LX13" s="103" t="str">
        <f>IFERROR(IF([1]Checklist!$C$6='GenInfo (2)'!E13,'GenInfo (2)'!LW13," ")," ")</f>
        <v xml:space="preserve"> </v>
      </c>
      <c r="LY13" s="104" t="str">
        <f>IFERROR(SMALL($LX$8:$LX$94,ROWS($IL$8:IL13))," ")</f>
        <v xml:space="preserve"> </v>
      </c>
      <c r="LZ13" s="102">
        <f>IFERROR(ROWS($IL$8:IL13)," ")</f>
        <v>6</v>
      </c>
      <c r="MA13" s="103" t="str">
        <f>IFERROR(IF([1]Checklist!$C$7='GenInfo (2)'!E13,'GenInfo (2)'!LZ13," ")," ")</f>
        <v xml:space="preserve"> </v>
      </c>
      <c r="MB13" s="104" t="str">
        <f>IFERROR(SMALL($MA$8:$MA$94,ROWS($IL$8:IL13))," ")</f>
        <v xml:space="preserve"> </v>
      </c>
      <c r="MC13" s="102">
        <f>IFERROR(ROWS($IL$8:IL13)," ")</f>
        <v>6</v>
      </c>
      <c r="MD13" s="103" t="str">
        <f>IFERROR(IF([1]Checklist!$C$8='GenInfo (2)'!E13,'GenInfo (2)'!MC13," ")," ")</f>
        <v xml:space="preserve"> </v>
      </c>
      <c r="ME13" s="104" t="str">
        <f>IFERROR(SMALL($MD$8:$MD$94,ROWS($IL$8:IL13))," ")</f>
        <v xml:space="preserve"> </v>
      </c>
      <c r="MF13" s="102">
        <f>IFERROR(ROWS($IL$8:IL13)," ")</f>
        <v>6</v>
      </c>
      <c r="MG13" s="103" t="str">
        <f>IFERROR(IF([1]Checklist!$C$9='GenInfo (2)'!E13,'GenInfo (2)'!MF13," ")," ")</f>
        <v xml:space="preserve"> </v>
      </c>
      <c r="MH13" s="104" t="str">
        <f>IFERROR(SMALL($MG$8:$MG$94,ROWS($IL$8:IL13))," ")</f>
        <v xml:space="preserve"> </v>
      </c>
      <c r="MI13" s="102">
        <f>IFERROR(ROWS($IL$8:$IL13)," ")</f>
        <v>6</v>
      </c>
      <c r="MJ13" s="103" t="str">
        <f>IFERROR(IF([1]Checklist!$C$10='GenInfo (2)'!E13,'GenInfo (2)'!MI13," ")," ")</f>
        <v xml:space="preserve"> </v>
      </c>
      <c r="MK13" s="104" t="str">
        <f>IFERROR(SMALL($MJ$8:$MJ$94,ROWS($IL$8:IL13))," ")</f>
        <v xml:space="preserve"> </v>
      </c>
      <c r="ML13" s="102">
        <f>IFERROR(ROWS($IL$8:IL13)," ")</f>
        <v>6</v>
      </c>
      <c r="MM13" s="103" t="str">
        <f>IFERROR(IF([1]Checklist!$C$11='GenInfo (2)'!E13,'GenInfo (2)'!ML13," ")," ")</f>
        <v xml:space="preserve"> </v>
      </c>
      <c r="MN13" s="104" t="str">
        <f>IFERROR(SMALL($MM$8:$MM$94,ROWS($IL$8:IL13))," ")</f>
        <v xml:space="preserve"> </v>
      </c>
      <c r="MO13" s="102">
        <f>IFERROR(ROWS($IL$8:IL13)," ")</f>
        <v>6</v>
      </c>
      <c r="MP13" s="103" t="str">
        <f>IFERROR(IF([1]Checklist!$C$12='GenInfo (2)'!E13,'GenInfo (2)'!MO13," ")," ")</f>
        <v xml:space="preserve"> </v>
      </c>
      <c r="MQ13" s="104" t="str">
        <f>IFERROR(SMALL($MP$8:$MP$94,ROWS($IL$8:IL13))," ")</f>
        <v xml:space="preserve"> </v>
      </c>
      <c r="MR13" s="102">
        <f>IFERROR(ROWS($IL$8:IL13)," ")</f>
        <v>6</v>
      </c>
      <c r="MS13" s="103" t="str">
        <f>IFERROR(IF([1]Checklist!$C$13='GenInfo (2)'!E13,'GenInfo (2)'!MR13," ")," ")</f>
        <v xml:space="preserve"> </v>
      </c>
      <c r="MT13" s="104" t="str">
        <f>IFERROR(SMALL($MS$8:$MS$94,ROWS($IL$8:IL13))," ")</f>
        <v xml:space="preserve"> </v>
      </c>
      <c r="MU13" s="102">
        <f>IFERROR(ROWS($IL$8:IL13)," ")</f>
        <v>6</v>
      </c>
      <c r="MV13" s="103" t="str">
        <f>IFERROR(IF([1]Checklist!$C$14='GenInfo (2)'!E13,'GenInfo (2)'!MU13," ")," ")</f>
        <v xml:space="preserve"> </v>
      </c>
      <c r="MW13" s="104" t="str">
        <f>IFERROR(SMALL($MV$8:$MV$94,ROWS($IL$8:IL13))," ")</f>
        <v xml:space="preserve"> </v>
      </c>
      <c r="MX13" s="102">
        <f>IFERROR(ROWS($IL$8:IL13)," ")</f>
        <v>6</v>
      </c>
      <c r="MY13" s="103" t="str">
        <f>IFERROR(IF([1]Checklist!$C$15='GenInfo (2)'!E13,'GenInfo (2)'!MX13," ")," ")</f>
        <v xml:space="preserve"> </v>
      </c>
      <c r="MZ13" s="104">
        <f>IFERROR(SMALL($MY$8:$MY$94,ROWS($IL$8:IL13))," ")</f>
        <v>39</v>
      </c>
      <c r="NA13" s="102">
        <f>IFERROR(ROWS($IL$8:IL13)," ")</f>
        <v>6</v>
      </c>
      <c r="NB13" s="103" t="str">
        <f>IFERROR(IF([1]Checklist!$C$16='GenInfo (2)'!E13,'GenInfo (2)'!NA13," ")," ")</f>
        <v xml:space="preserve"> </v>
      </c>
      <c r="NC13" s="104" t="str">
        <f>IFERROR(SMALL($NB$8:$NB$94,ROWS($IL$8:IL13))," ")</f>
        <v xml:space="preserve"> </v>
      </c>
      <c r="ND13" s="102">
        <f>IFERROR(ROWS($IL$8:IL13)," ")</f>
        <v>6</v>
      </c>
      <c r="NE13" s="103" t="str">
        <f>IFERROR(IF([1]Checklist!$C$17='GenInfo (2)'!E13,'GenInfo (2)'!ND13," ")," ")</f>
        <v xml:space="preserve"> </v>
      </c>
      <c r="NF13" s="104" t="str">
        <f>IFERROR(SMALL($NE$8:$NE$94,ROWS($IL$8:IL13))," ")</f>
        <v xml:space="preserve"> </v>
      </c>
    </row>
    <row r="14" spans="1:370" ht="28.5" x14ac:dyDescent="0.45">
      <c r="A14" s="37" t="s">
        <v>213</v>
      </c>
      <c r="B14" s="37">
        <v>45</v>
      </c>
      <c r="C14" s="146" t="s">
        <v>304</v>
      </c>
      <c r="D14" t="s">
        <v>305</v>
      </c>
      <c r="E14" s="64" t="s">
        <v>279</v>
      </c>
      <c r="F14" s="63" t="s">
        <v>306</v>
      </c>
      <c r="G14" s="64" t="s">
        <v>218</v>
      </c>
      <c r="H14" s="63"/>
      <c r="I14" s="137" t="s">
        <v>307</v>
      </c>
      <c r="J14" s="63" t="s">
        <v>308</v>
      </c>
      <c r="K14" s="62"/>
      <c r="L14" s="67">
        <v>43888</v>
      </c>
      <c r="M14" s="67">
        <v>43889</v>
      </c>
      <c r="N14" s="67"/>
      <c r="O14" s="68">
        <v>43891</v>
      </c>
      <c r="P14" s="67"/>
      <c r="Q14" s="67"/>
      <c r="R14" s="63"/>
      <c r="S14" s="67"/>
      <c r="T14" s="63"/>
      <c r="U14" s="62"/>
      <c r="V14" s="67">
        <v>43921</v>
      </c>
      <c r="W14" s="63" t="s">
        <v>222</v>
      </c>
      <c r="X14" s="69"/>
      <c r="Y14" s="63"/>
      <c r="Z14" s="69"/>
      <c r="AA14" s="62"/>
      <c r="AB14" s="63" t="s">
        <v>309</v>
      </c>
      <c r="AC14" s="63" t="s">
        <v>310</v>
      </c>
      <c r="AD14" s="66" t="s">
        <v>311</v>
      </c>
      <c r="AE14" s="63" t="s">
        <v>285</v>
      </c>
      <c r="AF14" s="63" t="s">
        <v>312</v>
      </c>
      <c r="AG14" s="63"/>
      <c r="AH14" s="63" t="s">
        <v>251</v>
      </c>
      <c r="AI14" s="63" t="s">
        <v>230</v>
      </c>
      <c r="AJ14" s="63">
        <v>60643</v>
      </c>
      <c r="AK14" s="62"/>
      <c r="AL14" s="71">
        <f t="shared" si="36"/>
        <v>18</v>
      </c>
      <c r="AM14" s="71">
        <f t="shared" ca="1" si="37"/>
        <v>20</v>
      </c>
      <c r="AN14" s="67">
        <v>37187</v>
      </c>
      <c r="AO14" s="72">
        <f t="shared" ca="1" si="38"/>
        <v>8</v>
      </c>
      <c r="AP14" s="63" t="s">
        <v>313</v>
      </c>
      <c r="AQ14" s="63" t="s">
        <v>264</v>
      </c>
      <c r="AR14" s="70" t="s">
        <v>233</v>
      </c>
      <c r="AS14" s="63"/>
      <c r="AT14" s="63">
        <v>150</v>
      </c>
      <c r="AU14" s="63">
        <v>10</v>
      </c>
      <c r="AV14" s="63">
        <v>8</v>
      </c>
      <c r="AW14" s="63">
        <v>730</v>
      </c>
      <c r="AX14" s="63" t="s">
        <v>289</v>
      </c>
      <c r="AY14" s="63" t="s">
        <v>290</v>
      </c>
      <c r="AZ14" s="63" t="s">
        <v>235</v>
      </c>
      <c r="BA14" s="63" t="s">
        <v>235</v>
      </c>
      <c r="BB14" s="63"/>
      <c r="BC14" s="63"/>
      <c r="BD14" s="62"/>
      <c r="BE14" s="71">
        <f t="shared" si="39"/>
        <v>0</v>
      </c>
      <c r="BF14" s="71">
        <f t="shared" si="39"/>
        <v>0</v>
      </c>
      <c r="BG14" s="71">
        <f t="shared" si="40"/>
        <v>0</v>
      </c>
      <c r="BH14" s="74" t="str">
        <f t="shared" si="41"/>
        <v xml:space="preserve"> </v>
      </c>
      <c r="BI14" s="75" t="str">
        <f t="shared" si="42"/>
        <v xml:space="preserve"> </v>
      </c>
      <c r="BJ14" s="71">
        <f t="shared" si="43"/>
        <v>0</v>
      </c>
      <c r="BK14" s="75" t="str">
        <f t="shared" si="44"/>
        <v xml:space="preserve"> </v>
      </c>
      <c r="BL14" s="76">
        <f t="shared" si="45"/>
        <v>0</v>
      </c>
      <c r="BM14" s="77">
        <f t="shared" si="45"/>
        <v>0</v>
      </c>
      <c r="BN14" s="78"/>
      <c r="BO14" s="67"/>
      <c r="BP14" s="67"/>
      <c r="BQ14" s="63"/>
      <c r="BR14" s="63"/>
      <c r="BS14" s="74" t="str">
        <f t="shared" si="49"/>
        <v xml:space="preserve"> </v>
      </c>
      <c r="BT14" s="79" t="s">
        <v>221</v>
      </c>
      <c r="BU14" s="79" t="s">
        <v>221</v>
      </c>
      <c r="BV14" s="80">
        <v>0</v>
      </c>
      <c r="BW14" s="81">
        <v>0</v>
      </c>
      <c r="BX14" s="82"/>
      <c r="BY14" s="83"/>
      <c r="BZ14" s="83"/>
      <c r="CA14" s="84"/>
      <c r="CB14" s="84"/>
      <c r="CC14" s="74" t="str">
        <f t="shared" si="50"/>
        <v xml:space="preserve"> </v>
      </c>
      <c r="CD14" s="79" t="s">
        <v>221</v>
      </c>
      <c r="CE14" s="81">
        <v>0</v>
      </c>
      <c r="CF14" s="85"/>
      <c r="CG14" s="85"/>
      <c r="CH14" s="85"/>
      <c r="CI14" s="78"/>
      <c r="CJ14" s="78"/>
      <c r="CK14" s="74" t="str">
        <f t="shared" si="51"/>
        <v xml:space="preserve"> </v>
      </c>
      <c r="CL14" s="79" t="s">
        <v>221</v>
      </c>
      <c r="CM14" s="79" t="s">
        <v>221</v>
      </c>
      <c r="CN14" s="86" t="s">
        <v>221</v>
      </c>
      <c r="CO14" s="81">
        <v>0</v>
      </c>
      <c r="CP14" s="87"/>
      <c r="CQ14" s="83"/>
      <c r="CR14" s="83"/>
      <c r="CS14" s="82"/>
      <c r="CT14" s="82"/>
      <c r="CU14" s="74" t="str">
        <f t="shared" si="52"/>
        <v xml:space="preserve"> </v>
      </c>
      <c r="CV14" s="79" t="s">
        <v>221</v>
      </c>
      <c r="CW14" s="79" t="s">
        <v>221</v>
      </c>
      <c r="CX14" s="88" t="s">
        <v>221</v>
      </c>
      <c r="CY14" s="81">
        <v>0</v>
      </c>
      <c r="CZ14" s="89"/>
      <c r="DA14" s="67"/>
      <c r="DB14" s="67"/>
      <c r="DC14" s="78"/>
      <c r="DD14" s="78"/>
      <c r="DE14" s="74" t="str">
        <f t="shared" si="53"/>
        <v xml:space="preserve"> </v>
      </c>
      <c r="DF14" s="79" t="s">
        <v>221</v>
      </c>
      <c r="DG14" s="79" t="s">
        <v>221</v>
      </c>
      <c r="DH14" s="79" t="s">
        <v>221</v>
      </c>
      <c r="DI14" s="81">
        <v>0</v>
      </c>
      <c r="DJ14" s="87"/>
      <c r="DK14" s="83"/>
      <c r="DL14" s="83"/>
      <c r="DM14" s="82"/>
      <c r="DN14" s="82"/>
      <c r="DO14" s="74" t="str">
        <f t="shared" si="54"/>
        <v xml:space="preserve"> </v>
      </c>
      <c r="DP14" s="79" t="s">
        <v>221</v>
      </c>
      <c r="DQ14" s="79" t="s">
        <v>221</v>
      </c>
      <c r="DR14" s="79" t="s">
        <v>221</v>
      </c>
      <c r="DS14" s="81">
        <v>0</v>
      </c>
      <c r="DT14" s="89"/>
      <c r="DU14" s="67"/>
      <c r="DV14" s="67"/>
      <c r="DW14" s="78"/>
      <c r="DX14" s="78"/>
      <c r="DY14" s="74" t="str">
        <f t="shared" si="55"/>
        <v xml:space="preserve"> </v>
      </c>
      <c r="DZ14" s="90">
        <v>0</v>
      </c>
      <c r="EA14" s="90">
        <v>0</v>
      </c>
      <c r="EB14" s="90">
        <v>0</v>
      </c>
      <c r="EC14" s="91">
        <v>0</v>
      </c>
      <c r="ED14" s="87"/>
      <c r="EE14" s="83"/>
      <c r="EF14" s="83"/>
      <c r="EG14" s="82"/>
      <c r="EH14" s="82"/>
      <c r="EI14" s="74" t="str">
        <f t="shared" si="46"/>
        <v xml:space="preserve"> </v>
      </c>
      <c r="EJ14" s="92">
        <v>0</v>
      </c>
      <c r="EK14" s="92">
        <v>0</v>
      </c>
      <c r="EL14" s="92">
        <v>0</v>
      </c>
      <c r="EM14" s="93">
        <v>0</v>
      </c>
      <c r="EN14" s="89"/>
      <c r="EO14" s="67"/>
      <c r="EP14" s="67"/>
      <c r="EQ14" s="78">
        <v>13</v>
      </c>
      <c r="ER14" s="78">
        <v>13</v>
      </c>
      <c r="ES14" s="74">
        <f t="shared" si="47"/>
        <v>1</v>
      </c>
      <c r="ET14" s="94">
        <v>0</v>
      </c>
      <c r="EU14" s="94"/>
      <c r="EV14" s="94">
        <v>0</v>
      </c>
      <c r="EW14" s="95">
        <v>0</v>
      </c>
      <c r="EX14" s="87"/>
      <c r="EY14" s="83"/>
      <c r="EZ14" s="83"/>
      <c r="FA14" s="82"/>
      <c r="FB14" s="82"/>
      <c r="FC14" s="74" t="str">
        <f t="shared" si="56"/>
        <v xml:space="preserve"> </v>
      </c>
      <c r="FD14" s="92"/>
      <c r="FE14" s="92"/>
      <c r="FF14" s="92"/>
      <c r="FG14" s="92"/>
      <c r="FH14" s="76">
        <f t="shared" si="57"/>
        <v>0</v>
      </c>
      <c r="FI14" s="89"/>
      <c r="FJ14" s="67"/>
      <c r="FK14" s="67"/>
      <c r="FL14" s="78"/>
      <c r="FM14" s="78"/>
      <c r="FN14" s="74" t="str">
        <f t="shared" si="58"/>
        <v xml:space="preserve"> </v>
      </c>
      <c r="FO14" s="94"/>
      <c r="FP14" s="94"/>
      <c r="FQ14" s="94"/>
      <c r="FR14" s="94"/>
      <c r="FS14" s="76">
        <f t="shared" si="59"/>
        <v>0</v>
      </c>
      <c r="FT14" s="87"/>
      <c r="FU14" s="83"/>
      <c r="FV14" s="83"/>
      <c r="FW14" s="82"/>
      <c r="FX14" s="82"/>
      <c r="FY14" s="74" t="str">
        <f t="shared" si="60"/>
        <v xml:space="preserve"> </v>
      </c>
      <c r="FZ14" s="92"/>
      <c r="GA14" s="92"/>
      <c r="GB14" s="92"/>
      <c r="GC14" s="92"/>
      <c r="GD14" s="76">
        <f t="shared" si="61"/>
        <v>0</v>
      </c>
      <c r="GE14" s="62"/>
      <c r="GF14" s="96" t="s">
        <v>221</v>
      </c>
      <c r="GG14" s="96" t="s">
        <v>289</v>
      </c>
      <c r="GH14" s="63"/>
      <c r="GI14" s="63" t="s">
        <v>221</v>
      </c>
      <c r="GJ14" s="63" t="s">
        <v>221</v>
      </c>
      <c r="GK14" s="97">
        <f t="shared" si="24"/>
        <v>0</v>
      </c>
      <c r="GL14" s="63" t="s">
        <v>221</v>
      </c>
      <c r="GM14" s="98"/>
      <c r="GN14" s="97">
        <f t="shared" si="62"/>
        <v>0</v>
      </c>
      <c r="GO14" s="97" t="str">
        <f t="shared" si="63"/>
        <v xml:space="preserve"> </v>
      </c>
      <c r="GP14" s="62"/>
      <c r="GQ14" s="63" t="s">
        <v>213</v>
      </c>
      <c r="GR14" s="63" t="s">
        <v>213</v>
      </c>
      <c r="GS14" s="63" t="s">
        <v>213</v>
      </c>
      <c r="GT14" s="96" t="s">
        <v>213</v>
      </c>
      <c r="GU14" s="96" t="s">
        <v>213</v>
      </c>
      <c r="GV14" s="96" t="s">
        <v>213</v>
      </c>
      <c r="GW14" s="96" t="s">
        <v>213</v>
      </c>
      <c r="GX14" s="63" t="s">
        <v>213</v>
      </c>
      <c r="GY14" s="65" t="s">
        <v>239</v>
      </c>
      <c r="GZ14" s="65" t="s">
        <v>239</v>
      </c>
      <c r="HA14" s="100" t="s">
        <v>289</v>
      </c>
      <c r="HB14" s="100" t="s">
        <v>289</v>
      </c>
      <c r="HC14" s="63"/>
      <c r="HD14" s="63"/>
      <c r="HE14" s="63"/>
      <c r="HF14" s="63"/>
      <c r="HG14" s="63" t="s">
        <v>213</v>
      </c>
      <c r="HH14" s="63"/>
      <c r="HI14" s="63"/>
      <c r="HJ14" s="63"/>
      <c r="HK14" s="63"/>
      <c r="HL14" s="65" t="str">
        <f t="shared" ref="HL14:HL16" si="68">IFERROR(IF(OR(IQ14&gt;0,IR14&gt;0,IS14&gt;0),"x",""),"")</f>
        <v/>
      </c>
      <c r="HM14" s="65" t="str">
        <f t="shared" si="66"/>
        <v/>
      </c>
      <c r="HN14" s="65" t="s">
        <v>239</v>
      </c>
      <c r="HO14" s="65" t="str">
        <f t="shared" ref="HO14:HO16" si="69">IFERROR(IF(OR(JE14&gt;0,JF14&gt;0,JG14&gt;0,JH14&gt;0),"x",""),"")</f>
        <v/>
      </c>
      <c r="HP14" s="99" t="str">
        <f t="shared" si="67"/>
        <v/>
      </c>
      <c r="HQ14" s="99" t="s">
        <v>239</v>
      </c>
      <c r="HR14" s="63"/>
      <c r="HS14" s="96" t="s">
        <v>289</v>
      </c>
      <c r="HT14" s="96" t="s">
        <v>289</v>
      </c>
      <c r="HU14" s="96" t="s">
        <v>289</v>
      </c>
      <c r="HV14" s="96" t="s">
        <v>289</v>
      </c>
      <c r="HW14" s="63"/>
      <c r="HX14" s="96" t="s">
        <v>289</v>
      </c>
      <c r="HY14" s="96" t="s">
        <v>289</v>
      </c>
      <c r="HZ14" s="63"/>
      <c r="IA14" s="63"/>
      <c r="IB14" s="63"/>
      <c r="IC14" s="63" t="s">
        <v>213</v>
      </c>
      <c r="ID14" s="63"/>
      <c r="IE14" s="100"/>
      <c r="IF14" s="100"/>
      <c r="IG14" s="100"/>
      <c r="IH14" s="100"/>
      <c r="II14" s="100"/>
      <c r="IJ14" s="100"/>
      <c r="IK14" s="100"/>
      <c r="IL14" s="63"/>
      <c r="IM14" s="62"/>
      <c r="IN14" s="101"/>
      <c r="IO14" s="101"/>
      <c r="IP14" s="63"/>
      <c r="IQ14" s="63"/>
      <c r="IR14" s="63"/>
      <c r="IS14" s="63"/>
      <c r="IT14" s="63"/>
      <c r="IU14" s="63"/>
      <c r="IV14" s="63"/>
      <c r="IW14" s="63"/>
      <c r="IX14" s="63"/>
      <c r="IY14" s="63"/>
      <c r="IZ14" s="63"/>
      <c r="JA14" s="65">
        <f t="shared" si="48"/>
        <v>0</v>
      </c>
      <c r="JB14" s="63"/>
      <c r="JC14" s="101"/>
      <c r="JD14" s="101"/>
      <c r="JE14" s="63"/>
      <c r="JF14" s="63"/>
      <c r="JG14" s="63"/>
      <c r="JH14" s="63"/>
      <c r="JI14" s="63"/>
      <c r="JJ14" s="63"/>
      <c r="JK14" s="63"/>
      <c r="JL14" s="63"/>
      <c r="JM14" s="63"/>
      <c r="JN14" s="63"/>
      <c r="JO14" s="63"/>
      <c r="JP14" s="65">
        <f t="shared" si="29"/>
        <v>0</v>
      </c>
      <c r="JQ14" s="96">
        <f>JJ14-JI14</f>
        <v>0</v>
      </c>
      <c r="LM14" s="205"/>
      <c r="LN14" s="102">
        <f>IFERROR(ROWS($IL$8:IL14)," ")</f>
        <v>7</v>
      </c>
      <c r="LO14" s="103" t="str">
        <f>IFERROR(IF([1]Checklist!$C$3='GenInfo (2)'!E14,'GenInfo (2)'!LN14," ")," ")</f>
        <v xml:space="preserve"> </v>
      </c>
      <c r="LP14" s="104" t="str">
        <f>IFERROR(SMALL($LO$8:$LO$94,ROWS($IL$8:IL14))," ")</f>
        <v xml:space="preserve"> </v>
      </c>
      <c r="LQ14" s="102">
        <f>IFERROR(ROWS($IL$8:IL14)," ")</f>
        <v>7</v>
      </c>
      <c r="LR14" s="103">
        <f>IFERROR(IF([1]Checklist!$C$4='GenInfo (2)'!E14,'GenInfo (2)'!LQ14," ")," ")</f>
        <v>7</v>
      </c>
      <c r="LS14" s="104" t="str">
        <f>IFERROR(SMALL($LR$8:$LR$94,ROWS($IL$8:IL14))," ")</f>
        <v xml:space="preserve"> </v>
      </c>
      <c r="LT14" s="102">
        <f>IFERROR(ROWS($IL$8:IL14)," ")</f>
        <v>7</v>
      </c>
      <c r="LU14" s="103" t="str">
        <f>IFERROR(IF([1]Checklist!$C$5='GenInfo (2)'!E14,'GenInfo (2)'!LT14," ")," ")</f>
        <v xml:space="preserve"> </v>
      </c>
      <c r="LV14" s="104" t="str">
        <f>IFERROR(SMALL($LU$8:$LU$94,ROWS($IL$8:IL14))," ")</f>
        <v xml:space="preserve"> </v>
      </c>
      <c r="LW14" s="102">
        <f>IFERROR(ROWS($IL$8:IL14)," ")</f>
        <v>7</v>
      </c>
      <c r="LX14" s="103" t="str">
        <f>IFERROR(IF([1]Checklist!$C$6='GenInfo (2)'!E14,'GenInfo (2)'!LW14," ")," ")</f>
        <v xml:space="preserve"> </v>
      </c>
      <c r="LY14" s="104" t="str">
        <f>IFERROR(SMALL($LX$8:$LX$94,ROWS($IL$8:IL14))," ")</f>
        <v xml:space="preserve"> </v>
      </c>
      <c r="LZ14" s="102">
        <f>IFERROR(ROWS($IL$8:IL14)," ")</f>
        <v>7</v>
      </c>
      <c r="MA14" s="103" t="str">
        <f>IFERROR(IF([1]Checklist!$C$7='GenInfo (2)'!E14,'GenInfo (2)'!LZ14," ")," ")</f>
        <v xml:space="preserve"> </v>
      </c>
      <c r="MB14" s="104" t="str">
        <f>IFERROR(SMALL($MA$8:$MA$94,ROWS($IL$8:IL14))," ")</f>
        <v xml:space="preserve"> </v>
      </c>
      <c r="MC14" s="102">
        <f>IFERROR(ROWS($IL$8:IL14)," ")</f>
        <v>7</v>
      </c>
      <c r="MD14" s="103" t="str">
        <f>IFERROR(IF([1]Checklist!$C$8='GenInfo (2)'!E14,'GenInfo (2)'!MC14," ")," ")</f>
        <v xml:space="preserve"> </v>
      </c>
      <c r="ME14" s="104" t="str">
        <f>IFERROR(SMALL($MD$8:$MD$94,ROWS($IL$8:IL14))," ")</f>
        <v xml:space="preserve"> </v>
      </c>
      <c r="MF14" s="102">
        <f>IFERROR(ROWS($IL$8:IL14)," ")</f>
        <v>7</v>
      </c>
      <c r="MG14" s="103" t="str">
        <f>IFERROR(IF([1]Checklist!$C$9='GenInfo (2)'!E14,'GenInfo (2)'!MF14," ")," ")</f>
        <v xml:space="preserve"> </v>
      </c>
      <c r="MH14" s="104" t="str">
        <f>IFERROR(SMALL($MG$8:$MG$94,ROWS($IL$8:IL14))," ")</f>
        <v xml:space="preserve"> </v>
      </c>
      <c r="MI14" s="102">
        <f>IFERROR(ROWS($IL$8:$IL14)," ")</f>
        <v>7</v>
      </c>
      <c r="MJ14" s="103" t="str">
        <f>IFERROR(IF([1]Checklist!$C$10='GenInfo (2)'!E14,'GenInfo (2)'!MI14," ")," ")</f>
        <v xml:space="preserve"> </v>
      </c>
      <c r="MK14" s="104" t="str">
        <f>IFERROR(SMALL($MJ$8:$MJ$94,ROWS($IL$8:IL14))," ")</f>
        <v xml:space="preserve"> </v>
      </c>
      <c r="ML14" s="102">
        <f>IFERROR(ROWS($IL$8:IL14)," ")</f>
        <v>7</v>
      </c>
      <c r="MM14" s="103" t="str">
        <f>IFERROR(IF([1]Checklist!$C$11='GenInfo (2)'!E14,'GenInfo (2)'!ML14," ")," ")</f>
        <v xml:space="preserve"> </v>
      </c>
      <c r="MN14" s="104" t="str">
        <f>IFERROR(SMALL($MM$8:$MM$94,ROWS($IL$8:IL14))," ")</f>
        <v xml:space="preserve"> </v>
      </c>
      <c r="MO14" s="102">
        <f>IFERROR(ROWS($IL$8:IL14)," ")</f>
        <v>7</v>
      </c>
      <c r="MP14" s="103" t="str">
        <f>IFERROR(IF([1]Checklist!$C$12='GenInfo (2)'!E14,'GenInfo (2)'!MO14," ")," ")</f>
        <v xml:space="preserve"> </v>
      </c>
      <c r="MQ14" s="104" t="str">
        <f>IFERROR(SMALL($MP$8:$MP$94,ROWS($IL$8:IL14))," ")</f>
        <v xml:space="preserve"> </v>
      </c>
      <c r="MR14" s="102">
        <f>IFERROR(ROWS($IL$8:IL14)," ")</f>
        <v>7</v>
      </c>
      <c r="MS14" s="103" t="str">
        <f>IFERROR(IF([1]Checklist!$C$13='GenInfo (2)'!E14,'GenInfo (2)'!MR14," ")," ")</f>
        <v xml:space="preserve"> </v>
      </c>
      <c r="MT14" s="104" t="str">
        <f>IFERROR(SMALL($MS$8:$MS$94,ROWS($IL$8:IL14))," ")</f>
        <v xml:space="preserve"> </v>
      </c>
      <c r="MU14" s="102">
        <f>IFERROR(ROWS($IL$8:IL14)," ")</f>
        <v>7</v>
      </c>
      <c r="MV14" s="103" t="str">
        <f>IFERROR(IF([1]Checklist!$C$14='GenInfo (2)'!E14,'GenInfo (2)'!MU14," ")," ")</f>
        <v xml:space="preserve"> </v>
      </c>
      <c r="MW14" s="104" t="str">
        <f>IFERROR(SMALL($MV$8:$MV$94,ROWS($IL$8:IL14))," ")</f>
        <v xml:space="preserve"> </v>
      </c>
      <c r="MX14" s="102">
        <f>IFERROR(ROWS($IL$8:IL14)," ")</f>
        <v>7</v>
      </c>
      <c r="MY14" s="103" t="str">
        <f>IFERROR(IF([1]Checklist!$C$15='GenInfo (2)'!E14,'GenInfo (2)'!MX14," ")," ")</f>
        <v xml:space="preserve"> </v>
      </c>
      <c r="MZ14" s="104">
        <f>IFERROR(SMALL($MY$8:$MY$94,ROWS($IL$8:IL14))," ")</f>
        <v>40</v>
      </c>
      <c r="NA14" s="102">
        <f>IFERROR(ROWS($IL$8:IL14)," ")</f>
        <v>7</v>
      </c>
      <c r="NB14" s="103" t="str">
        <f>IFERROR(IF([1]Checklist!$C$16='GenInfo (2)'!E14,'GenInfo (2)'!NA14," ")," ")</f>
        <v xml:space="preserve"> </v>
      </c>
      <c r="NC14" s="104" t="str">
        <f>IFERROR(SMALL($NB$8:$NB$94,ROWS($IL$8:IL14))," ")</f>
        <v xml:space="preserve"> </v>
      </c>
      <c r="ND14" s="102">
        <f>IFERROR(ROWS($IL$8:IL14)," ")</f>
        <v>7</v>
      </c>
      <c r="NE14" s="103" t="str">
        <f>IFERROR(IF([1]Checklist!$C$17='GenInfo (2)'!E14,'GenInfo (2)'!ND14," ")," ")</f>
        <v xml:space="preserve"> </v>
      </c>
      <c r="NF14" s="104" t="str">
        <f>IFERROR(SMALL($NE$8:$NE$94,ROWS($IL$8:IL14))," ")</f>
        <v xml:space="preserve"> </v>
      </c>
    </row>
    <row r="15" spans="1:370" ht="14.25" x14ac:dyDescent="0.45">
      <c r="A15" s="37" t="s">
        <v>213</v>
      </c>
      <c r="B15" s="37">
        <v>49</v>
      </c>
      <c r="C15" s="146" t="s">
        <v>314</v>
      </c>
      <c r="D15" t="s">
        <v>315</v>
      </c>
      <c r="E15" s="64" t="s">
        <v>316</v>
      </c>
      <c r="F15" s="63" t="s">
        <v>317</v>
      </c>
      <c r="G15" s="64" t="s">
        <v>218</v>
      </c>
      <c r="H15" s="63"/>
      <c r="I15" s="137" t="s">
        <v>318</v>
      </c>
      <c r="J15" s="63" t="s">
        <v>319</v>
      </c>
      <c r="K15" s="62"/>
      <c r="L15" s="67">
        <v>43788</v>
      </c>
      <c r="M15" s="67">
        <v>43788</v>
      </c>
      <c r="N15" s="67" t="s">
        <v>213</v>
      </c>
      <c r="O15" s="68">
        <v>43770</v>
      </c>
      <c r="P15" s="67"/>
      <c r="Q15" s="67"/>
      <c r="R15" s="63" t="s">
        <v>297</v>
      </c>
      <c r="S15" s="67"/>
      <c r="T15" s="63"/>
      <c r="U15" s="62"/>
      <c r="V15" s="67">
        <v>43815</v>
      </c>
      <c r="W15" s="63" t="s">
        <v>222</v>
      </c>
      <c r="X15" s="69"/>
      <c r="Y15" s="63"/>
      <c r="Z15" s="69"/>
      <c r="AA15" s="62"/>
      <c r="AB15" s="63" t="s">
        <v>320</v>
      </c>
      <c r="AC15" s="63" t="s">
        <v>321</v>
      </c>
      <c r="AD15" s="63"/>
      <c r="AE15" s="63" t="s">
        <v>322</v>
      </c>
      <c r="AF15" s="63"/>
      <c r="AG15" s="63"/>
      <c r="AH15" s="63"/>
      <c r="AI15" s="63"/>
      <c r="AJ15" s="63"/>
      <c r="AK15" s="62"/>
      <c r="AL15" s="71">
        <f t="shared" si="36"/>
        <v>16</v>
      </c>
      <c r="AM15" s="71">
        <f t="shared" ca="1" si="37"/>
        <v>18</v>
      </c>
      <c r="AN15" s="67">
        <v>37921</v>
      </c>
      <c r="AO15" s="72">
        <f t="shared" ca="1" si="38"/>
        <v>32</v>
      </c>
      <c r="AP15" s="63" t="s">
        <v>313</v>
      </c>
      <c r="AQ15" s="63" t="s">
        <v>264</v>
      </c>
      <c r="AR15" s="70" t="s">
        <v>233</v>
      </c>
      <c r="AS15" s="63">
        <v>2</v>
      </c>
      <c r="AT15" s="63">
        <v>629</v>
      </c>
      <c r="AU15" s="63">
        <v>15</v>
      </c>
      <c r="AV15" s="63">
        <v>1</v>
      </c>
      <c r="AW15" s="63">
        <v>60</v>
      </c>
      <c r="AX15" s="63" t="s">
        <v>234</v>
      </c>
      <c r="AY15" s="63" t="s">
        <v>265</v>
      </c>
      <c r="AZ15" s="63" t="s">
        <v>238</v>
      </c>
      <c r="BA15" s="63" t="s">
        <v>238</v>
      </c>
      <c r="BB15" s="63"/>
      <c r="BC15" s="63"/>
      <c r="BD15" s="62"/>
      <c r="BE15" s="71">
        <f t="shared" si="39"/>
        <v>3</v>
      </c>
      <c r="BF15" s="71">
        <f t="shared" si="39"/>
        <v>3</v>
      </c>
      <c r="BG15" s="71">
        <f t="shared" si="40"/>
        <v>0</v>
      </c>
      <c r="BH15" s="74">
        <f t="shared" si="41"/>
        <v>0.79629629629629628</v>
      </c>
      <c r="BI15" s="75">
        <f t="shared" si="42"/>
        <v>0</v>
      </c>
      <c r="BJ15" s="71">
        <f t="shared" si="43"/>
        <v>3</v>
      </c>
      <c r="BK15" s="75">
        <f t="shared" si="44"/>
        <v>1</v>
      </c>
      <c r="BL15" s="76">
        <f t="shared" si="45"/>
        <v>26.75</v>
      </c>
      <c r="BM15" s="77">
        <f t="shared" si="45"/>
        <v>160.5</v>
      </c>
      <c r="BN15" s="78"/>
      <c r="BO15" s="67"/>
      <c r="BP15" s="67"/>
      <c r="BQ15" s="63"/>
      <c r="BR15" s="63"/>
      <c r="BS15" s="74" t="str">
        <f t="shared" si="49"/>
        <v xml:space="preserve"> </v>
      </c>
      <c r="BT15" s="79">
        <v>0</v>
      </c>
      <c r="BU15" s="79">
        <v>0</v>
      </c>
      <c r="BV15" s="80">
        <v>0</v>
      </c>
      <c r="BW15" s="81">
        <v>0</v>
      </c>
      <c r="BX15" s="82"/>
      <c r="BY15" s="83"/>
      <c r="BZ15" s="83"/>
      <c r="CA15" s="84"/>
      <c r="CB15" s="84"/>
      <c r="CC15" s="74" t="str">
        <f t="shared" si="50"/>
        <v xml:space="preserve"> </v>
      </c>
      <c r="CD15" s="79">
        <v>0</v>
      </c>
      <c r="CE15" s="81">
        <v>0</v>
      </c>
      <c r="CF15" s="85"/>
      <c r="CG15" s="85"/>
      <c r="CH15" s="85"/>
      <c r="CI15" s="78"/>
      <c r="CJ15" s="78"/>
      <c r="CK15" s="74" t="str">
        <f t="shared" si="51"/>
        <v xml:space="preserve"> </v>
      </c>
      <c r="CL15" s="79">
        <v>0</v>
      </c>
      <c r="CM15" s="79">
        <v>0</v>
      </c>
      <c r="CN15" s="86">
        <v>0</v>
      </c>
      <c r="CO15" s="81">
        <v>0</v>
      </c>
      <c r="CP15" s="87"/>
      <c r="CQ15" s="83"/>
      <c r="CR15" s="83"/>
      <c r="CS15" s="82"/>
      <c r="CT15" s="82"/>
      <c r="CU15" s="74" t="str">
        <f t="shared" si="52"/>
        <v xml:space="preserve"> </v>
      </c>
      <c r="CV15" s="79">
        <v>0</v>
      </c>
      <c r="CW15" s="79">
        <v>0</v>
      </c>
      <c r="CX15" s="88">
        <v>0</v>
      </c>
      <c r="CY15" s="81">
        <v>0</v>
      </c>
      <c r="CZ15" s="89"/>
      <c r="DA15" s="67"/>
      <c r="DB15" s="67"/>
      <c r="DC15" s="78"/>
      <c r="DD15" s="78"/>
      <c r="DE15" s="74" t="str">
        <f t="shared" si="53"/>
        <v xml:space="preserve"> </v>
      </c>
      <c r="DF15" s="79">
        <v>0</v>
      </c>
      <c r="DG15" s="79">
        <v>0</v>
      </c>
      <c r="DH15" s="79">
        <v>0</v>
      </c>
      <c r="DI15" s="81">
        <v>0</v>
      </c>
      <c r="DJ15" s="87"/>
      <c r="DK15" s="83"/>
      <c r="DL15" s="83"/>
      <c r="DM15" s="82">
        <v>15</v>
      </c>
      <c r="DN15" s="82">
        <v>15</v>
      </c>
      <c r="DO15" s="74">
        <f t="shared" si="54"/>
        <v>1</v>
      </c>
      <c r="DP15" s="79">
        <v>0</v>
      </c>
      <c r="DQ15" s="79">
        <v>10</v>
      </c>
      <c r="DR15" s="79">
        <v>10</v>
      </c>
      <c r="DS15" s="81">
        <v>60</v>
      </c>
      <c r="DT15" s="89"/>
      <c r="DU15" s="67"/>
      <c r="DV15" s="67"/>
      <c r="DW15" s="78">
        <v>18</v>
      </c>
      <c r="DX15" s="78">
        <v>11</v>
      </c>
      <c r="DY15" s="74">
        <f t="shared" si="55"/>
        <v>0.61111111111111116</v>
      </c>
      <c r="DZ15" s="90">
        <v>3</v>
      </c>
      <c r="EA15" s="90">
        <v>4.5</v>
      </c>
      <c r="EB15" s="90">
        <v>7.5</v>
      </c>
      <c r="EC15" s="91">
        <v>45</v>
      </c>
      <c r="ED15" s="87"/>
      <c r="EE15" s="83"/>
      <c r="EF15" s="83"/>
      <c r="EG15" s="82">
        <v>18</v>
      </c>
      <c r="EH15" s="82">
        <v>14</v>
      </c>
      <c r="EI15" s="74">
        <f t="shared" si="46"/>
        <v>0.77777777777777779</v>
      </c>
      <c r="EJ15" s="92">
        <v>2</v>
      </c>
      <c r="EK15" s="92">
        <v>7.25</v>
      </c>
      <c r="EL15" s="92">
        <v>9.25</v>
      </c>
      <c r="EM15" s="93">
        <v>55.5</v>
      </c>
      <c r="EN15" s="89"/>
      <c r="EO15" s="67"/>
      <c r="EP15" s="67"/>
      <c r="EQ15" s="78">
        <v>9</v>
      </c>
      <c r="ER15" s="78">
        <v>3</v>
      </c>
      <c r="ES15" s="74">
        <f t="shared" si="47"/>
        <v>0.33333333333333331</v>
      </c>
      <c r="ET15" s="94">
        <v>2</v>
      </c>
      <c r="EU15" s="94"/>
      <c r="EV15" s="94">
        <v>2</v>
      </c>
      <c r="EW15" s="95">
        <v>12</v>
      </c>
      <c r="EX15" s="87"/>
      <c r="EY15" s="83"/>
      <c r="EZ15" s="83"/>
      <c r="FA15" s="82"/>
      <c r="FB15" s="82"/>
      <c r="FC15" s="74" t="str">
        <f t="shared" si="56"/>
        <v xml:space="preserve"> </v>
      </c>
      <c r="FD15" s="92"/>
      <c r="FE15" s="92"/>
      <c r="FF15" s="92"/>
      <c r="FG15" s="92"/>
      <c r="FH15" s="76">
        <f t="shared" si="57"/>
        <v>0</v>
      </c>
      <c r="FI15" s="89"/>
      <c r="FJ15" s="67"/>
      <c r="FK15" s="67"/>
      <c r="FL15" s="78"/>
      <c r="FM15" s="78"/>
      <c r="FN15" s="74" t="str">
        <f t="shared" si="58"/>
        <v xml:space="preserve"> </v>
      </c>
      <c r="FO15" s="94"/>
      <c r="FP15" s="94"/>
      <c r="FQ15" s="94"/>
      <c r="FR15" s="94"/>
      <c r="FS15" s="76">
        <f t="shared" si="59"/>
        <v>0</v>
      </c>
      <c r="FT15" s="87"/>
      <c r="FU15" s="83"/>
      <c r="FV15" s="83"/>
      <c r="FW15" s="82"/>
      <c r="FX15" s="82"/>
      <c r="FY15" s="74" t="str">
        <f t="shared" si="60"/>
        <v xml:space="preserve"> </v>
      </c>
      <c r="FZ15" s="92"/>
      <c r="GA15" s="92"/>
      <c r="GB15" s="92"/>
      <c r="GC15" s="92"/>
      <c r="GD15" s="76">
        <f t="shared" si="61"/>
        <v>0</v>
      </c>
      <c r="GE15" s="62"/>
      <c r="GF15" s="96">
        <v>0</v>
      </c>
      <c r="GG15" s="96" t="s">
        <v>234</v>
      </c>
      <c r="GH15" s="63"/>
      <c r="GI15" s="63" t="s">
        <v>221</v>
      </c>
      <c r="GJ15" s="63" t="s">
        <v>221</v>
      </c>
      <c r="GK15" s="97">
        <f t="shared" si="24"/>
        <v>0</v>
      </c>
      <c r="GL15" s="63" t="s">
        <v>221</v>
      </c>
      <c r="GM15" s="98"/>
      <c r="GN15" s="97">
        <f t="shared" si="62"/>
        <v>0</v>
      </c>
      <c r="GO15" s="97">
        <f t="shared" si="63"/>
        <v>0</v>
      </c>
      <c r="GP15" s="62"/>
      <c r="GQ15" s="63" t="s">
        <v>213</v>
      </c>
      <c r="GR15" s="63" t="s">
        <v>213</v>
      </c>
      <c r="GS15" s="63" t="s">
        <v>213</v>
      </c>
      <c r="GT15" s="63" t="s">
        <v>213</v>
      </c>
      <c r="GU15" s="63" t="s">
        <v>213</v>
      </c>
      <c r="GV15" s="63"/>
      <c r="GW15" s="63" t="s">
        <v>213</v>
      </c>
      <c r="GX15" s="63" t="s">
        <v>238</v>
      </c>
      <c r="GY15" s="65" t="str">
        <f t="shared" ref="GY15" si="70">IFERROR(IF(IN15&gt;0,"X",""),"")</f>
        <v>X</v>
      </c>
      <c r="GZ15" s="65" t="str">
        <f t="shared" ref="GZ15" si="71">IFERROR(IF(JC15&gt;0,"X",""),"")</f>
        <v>X</v>
      </c>
      <c r="HA15" s="63" t="s">
        <v>323</v>
      </c>
      <c r="HB15" s="63" t="s">
        <v>213</v>
      </c>
      <c r="HC15" s="63"/>
      <c r="HD15" s="63"/>
      <c r="HE15" s="63"/>
      <c r="HF15" s="63"/>
      <c r="HG15" s="63" t="s">
        <v>323</v>
      </c>
      <c r="HH15" s="63"/>
      <c r="HI15" s="63"/>
      <c r="HJ15" s="63"/>
      <c r="HK15" s="63"/>
      <c r="HL15" s="65" t="str">
        <f t="shared" si="68"/>
        <v/>
      </c>
      <c r="HM15" s="65" t="str">
        <f t="shared" si="66"/>
        <v>x</v>
      </c>
      <c r="HN15" s="65" t="s">
        <v>239</v>
      </c>
      <c r="HO15" s="65" t="str">
        <f t="shared" si="69"/>
        <v/>
      </c>
      <c r="HP15" s="99" t="str">
        <f t="shared" si="67"/>
        <v>x</v>
      </c>
      <c r="HQ15" s="99" t="s">
        <v>239</v>
      </c>
      <c r="HR15" s="63"/>
      <c r="HS15" s="63"/>
      <c r="HT15" s="63" t="s">
        <v>213</v>
      </c>
      <c r="HU15" s="63" t="s">
        <v>213</v>
      </c>
      <c r="HV15" s="63"/>
      <c r="HW15" s="63"/>
      <c r="HX15" s="63" t="s">
        <v>213</v>
      </c>
      <c r="HY15" s="63"/>
      <c r="HZ15" s="63"/>
      <c r="IA15" s="63" t="s">
        <v>237</v>
      </c>
      <c r="IB15" s="63"/>
      <c r="IC15" s="63"/>
      <c r="ID15" s="63" t="s">
        <v>240</v>
      </c>
      <c r="IE15" s="63" t="s">
        <v>213</v>
      </c>
      <c r="IF15" s="63" t="s">
        <v>213</v>
      </c>
      <c r="IG15" s="63" t="s">
        <v>213</v>
      </c>
      <c r="IH15" s="63" t="s">
        <v>213</v>
      </c>
      <c r="II15" s="63" t="s">
        <v>213</v>
      </c>
      <c r="IJ15" s="63" t="s">
        <v>213</v>
      </c>
      <c r="IK15" s="63" t="s">
        <v>213</v>
      </c>
      <c r="IL15" s="63" t="s">
        <v>213</v>
      </c>
      <c r="IM15" s="62"/>
      <c r="IN15" s="101">
        <v>5.7</v>
      </c>
      <c r="IO15" s="101"/>
      <c r="IP15" s="63"/>
      <c r="IQ15" s="63"/>
      <c r="IR15" s="63"/>
      <c r="IS15" s="63"/>
      <c r="IT15" s="63">
        <v>5.7</v>
      </c>
      <c r="IU15" s="96">
        <v>7</v>
      </c>
      <c r="IV15" s="63"/>
      <c r="IW15" s="63"/>
      <c r="IX15" s="63"/>
      <c r="IY15" s="63"/>
      <c r="IZ15" s="63"/>
      <c r="JA15" s="65">
        <f t="shared" si="48"/>
        <v>2</v>
      </c>
      <c r="JB15" s="63">
        <f>IU15-IT15</f>
        <v>1.2999999999999998</v>
      </c>
      <c r="JC15" s="101">
        <v>4.8</v>
      </c>
      <c r="JD15" s="101"/>
      <c r="JE15" s="63"/>
      <c r="JF15" s="63"/>
      <c r="JG15" s="63"/>
      <c r="JH15" s="63"/>
      <c r="JI15" s="63">
        <v>4.8</v>
      </c>
      <c r="JJ15" s="96">
        <v>6.1</v>
      </c>
      <c r="JK15" s="63"/>
      <c r="JL15" s="63"/>
      <c r="JM15" s="63"/>
      <c r="JN15" s="63"/>
      <c r="JO15" s="63"/>
      <c r="JP15" s="65">
        <f t="shared" si="29"/>
        <v>2</v>
      </c>
      <c r="JQ15" s="96"/>
      <c r="LM15" s="205"/>
      <c r="LN15" s="102">
        <f>IFERROR(ROWS($IL$8:IL15)," ")</f>
        <v>8</v>
      </c>
      <c r="LO15" s="103" t="str">
        <f>IFERROR(IF([1]Checklist!$C$3='GenInfo (2)'!E15,'GenInfo (2)'!LN15," ")," ")</f>
        <v xml:space="preserve"> </v>
      </c>
      <c r="LP15" s="104" t="str">
        <f>IFERROR(SMALL($LO$8:$LO$94,ROWS($IL$8:IL15))," ")</f>
        <v xml:space="preserve"> </v>
      </c>
      <c r="LQ15" s="102">
        <f>IFERROR(ROWS($IL$8:IL15)," ")</f>
        <v>8</v>
      </c>
      <c r="LR15" s="103" t="str">
        <f>IFERROR(IF([1]Checklist!$C$4='GenInfo (2)'!E15,'GenInfo (2)'!LQ15," ")," ")</f>
        <v xml:space="preserve"> </v>
      </c>
      <c r="LS15" s="104" t="str">
        <f>IFERROR(SMALL($LR$8:$LR$94,ROWS($IL$8:IL15))," ")</f>
        <v xml:space="preserve"> </v>
      </c>
      <c r="LT15" s="102">
        <f>IFERROR(ROWS($IL$8:IL15)," ")</f>
        <v>8</v>
      </c>
      <c r="LU15" s="103">
        <f>IFERROR(IF([1]Checklist!$C$5='GenInfo (2)'!E15,'GenInfo (2)'!LT15," ")," ")</f>
        <v>8</v>
      </c>
      <c r="LV15" s="104" t="str">
        <f>IFERROR(SMALL($LU$8:$LU$94,ROWS($IL$8:IL15))," ")</f>
        <v xml:space="preserve"> </v>
      </c>
      <c r="LW15" s="102">
        <f>IFERROR(ROWS($IL$8:IL15)," ")</f>
        <v>8</v>
      </c>
      <c r="LX15" s="103" t="str">
        <f>IFERROR(IF([1]Checklist!$C$6='GenInfo (2)'!E15,'GenInfo (2)'!LW15," ")," ")</f>
        <v xml:space="preserve"> </v>
      </c>
      <c r="LY15" s="104" t="str">
        <f>IFERROR(SMALL($LX$8:$LX$94,ROWS($IL$8:IL15))," ")</f>
        <v xml:space="preserve"> </v>
      </c>
      <c r="LZ15" s="102">
        <f>IFERROR(ROWS($IL$8:IL15)," ")</f>
        <v>8</v>
      </c>
      <c r="MA15" s="103" t="str">
        <f>IFERROR(IF([1]Checklist!$C$7='GenInfo (2)'!E15,'GenInfo (2)'!LZ15," ")," ")</f>
        <v xml:space="preserve"> </v>
      </c>
      <c r="MB15" s="104" t="str">
        <f>IFERROR(SMALL($MA$8:$MA$94,ROWS($IL$8:IL15))," ")</f>
        <v xml:space="preserve"> </v>
      </c>
      <c r="MC15" s="102">
        <f>IFERROR(ROWS($IL$8:IL15)," ")</f>
        <v>8</v>
      </c>
      <c r="MD15" s="103" t="str">
        <f>IFERROR(IF([1]Checklist!$C$8='GenInfo (2)'!E15,'GenInfo (2)'!MC15," ")," ")</f>
        <v xml:space="preserve"> </v>
      </c>
      <c r="ME15" s="104" t="str">
        <f>IFERROR(SMALL($MD$8:$MD$94,ROWS($IL$8:IL15))," ")</f>
        <v xml:space="preserve"> </v>
      </c>
      <c r="MF15" s="102">
        <f>IFERROR(ROWS($IL$8:IL15)," ")</f>
        <v>8</v>
      </c>
      <c r="MG15" s="103" t="str">
        <f>IFERROR(IF([1]Checklist!$C$9='GenInfo (2)'!E15,'GenInfo (2)'!MF15," ")," ")</f>
        <v xml:space="preserve"> </v>
      </c>
      <c r="MH15" s="104" t="str">
        <f>IFERROR(SMALL($MG$8:$MG$94,ROWS($IL$8:IL15))," ")</f>
        <v xml:space="preserve"> </v>
      </c>
      <c r="MI15" s="102">
        <f>IFERROR(ROWS($IL$8:$IL15)," ")</f>
        <v>8</v>
      </c>
      <c r="MJ15" s="103" t="str">
        <f>IFERROR(IF([1]Checklist!$C$10='GenInfo (2)'!E15,'GenInfo (2)'!MI15," ")," ")</f>
        <v xml:space="preserve"> </v>
      </c>
      <c r="MK15" s="104" t="str">
        <f>IFERROR(SMALL($MJ$8:$MJ$94,ROWS($IL$8:IL15))," ")</f>
        <v xml:space="preserve"> </v>
      </c>
      <c r="ML15" s="102">
        <f>IFERROR(ROWS($IL$8:IL15)," ")</f>
        <v>8</v>
      </c>
      <c r="MM15" s="103" t="str">
        <f>IFERROR(IF([1]Checklist!$C$11='GenInfo (2)'!E15,'GenInfo (2)'!ML15," ")," ")</f>
        <v xml:space="preserve"> </v>
      </c>
      <c r="MN15" s="104" t="str">
        <f>IFERROR(SMALL($MM$8:$MM$94,ROWS($IL$8:IL15))," ")</f>
        <v xml:space="preserve"> </v>
      </c>
      <c r="MO15" s="102">
        <f>IFERROR(ROWS($IL$8:IL15)," ")</f>
        <v>8</v>
      </c>
      <c r="MP15" s="103" t="str">
        <f>IFERROR(IF([1]Checklist!$C$12='GenInfo (2)'!E15,'GenInfo (2)'!MO15," ")," ")</f>
        <v xml:space="preserve"> </v>
      </c>
      <c r="MQ15" s="104" t="str">
        <f>IFERROR(SMALL($MP$8:$MP$94,ROWS($IL$8:IL15))," ")</f>
        <v xml:space="preserve"> </v>
      </c>
      <c r="MR15" s="102">
        <f>IFERROR(ROWS($IL$8:IL15)," ")</f>
        <v>8</v>
      </c>
      <c r="MS15" s="103" t="str">
        <f>IFERROR(IF([1]Checklist!$C$13='GenInfo (2)'!E15,'GenInfo (2)'!MR15," ")," ")</f>
        <v xml:space="preserve"> </v>
      </c>
      <c r="MT15" s="104" t="str">
        <f>IFERROR(SMALL($MS$8:$MS$94,ROWS($IL$8:IL15))," ")</f>
        <v xml:space="preserve"> </v>
      </c>
      <c r="MU15" s="102">
        <f>IFERROR(ROWS($IL$8:IL15)," ")</f>
        <v>8</v>
      </c>
      <c r="MV15" s="103" t="str">
        <f>IFERROR(IF([1]Checklist!$C$14='GenInfo (2)'!E15,'GenInfo (2)'!MU15," ")," ")</f>
        <v xml:space="preserve"> </v>
      </c>
      <c r="MW15" s="104" t="str">
        <f>IFERROR(SMALL($MV$8:$MV$94,ROWS($IL$8:IL15))," ")</f>
        <v xml:space="preserve"> </v>
      </c>
      <c r="MX15" s="102">
        <f>IFERROR(ROWS($IL$8:IL15)," ")</f>
        <v>8</v>
      </c>
      <c r="MY15" s="103" t="str">
        <f>IFERROR(IF([1]Checklist!$C$15='GenInfo (2)'!E15,'GenInfo (2)'!MX15," ")," ")</f>
        <v xml:space="preserve"> </v>
      </c>
      <c r="MZ15" s="104">
        <f>IFERROR(SMALL($MY$8:$MY$94,ROWS($IL$8:IL15))," ")</f>
        <v>41</v>
      </c>
      <c r="NA15" s="102">
        <f>IFERROR(ROWS($IL$8:IL15)," ")</f>
        <v>8</v>
      </c>
      <c r="NB15" s="103" t="str">
        <f>IFERROR(IF([1]Checklist!$C$16='GenInfo (2)'!E15,'GenInfo (2)'!NA15," ")," ")</f>
        <v xml:space="preserve"> </v>
      </c>
      <c r="NC15" s="104" t="str">
        <f>IFERROR(SMALL($NB$8:$NB$94,ROWS($IL$8:IL15))," ")</f>
        <v xml:space="preserve"> </v>
      </c>
      <c r="ND15" s="102">
        <f>IFERROR(ROWS($IL$8:IL15)," ")</f>
        <v>8</v>
      </c>
      <c r="NE15" s="103" t="str">
        <f>IFERROR(IF([1]Checklist!$C$17='GenInfo (2)'!E15,'GenInfo (2)'!ND15," ")," ")</f>
        <v xml:space="preserve"> </v>
      </c>
      <c r="NF15" s="104" t="str">
        <f>IFERROR(SMALL($NE$8:$NE$94,ROWS($IL$8:IL15))," ")</f>
        <v xml:space="preserve"> </v>
      </c>
    </row>
    <row r="16" spans="1:370" ht="14.25" x14ac:dyDescent="0.45">
      <c r="A16" s="37" t="s">
        <v>213</v>
      </c>
      <c r="B16" s="37">
        <v>57</v>
      </c>
      <c r="C16" s="146" t="s">
        <v>324</v>
      </c>
      <c r="D16" t="s">
        <v>325</v>
      </c>
      <c r="E16" s="64" t="s">
        <v>316</v>
      </c>
      <c r="F16" s="63" t="s">
        <v>326</v>
      </c>
      <c r="G16" s="64" t="s">
        <v>218</v>
      </c>
      <c r="H16" s="63"/>
      <c r="I16" s="137" t="s">
        <v>327</v>
      </c>
      <c r="J16" s="63" t="s">
        <v>328</v>
      </c>
      <c r="K16" s="62"/>
      <c r="L16" s="67">
        <v>43851</v>
      </c>
      <c r="M16" s="67">
        <v>43852</v>
      </c>
      <c r="N16" s="67" t="s">
        <v>213</v>
      </c>
      <c r="O16" s="68">
        <v>43862</v>
      </c>
      <c r="P16" s="67"/>
      <c r="Q16" s="67"/>
      <c r="R16" s="63" t="s">
        <v>297</v>
      </c>
      <c r="S16" s="67"/>
      <c r="T16" s="63"/>
      <c r="U16" s="62"/>
      <c r="V16" s="67">
        <v>43879</v>
      </c>
      <c r="W16" s="63" t="s">
        <v>222</v>
      </c>
      <c r="X16" s="69"/>
      <c r="Y16" s="63"/>
      <c r="Z16" s="69"/>
      <c r="AA16" s="62"/>
      <c r="AB16" s="63" t="s">
        <v>329</v>
      </c>
      <c r="AC16" s="63" t="s">
        <v>330</v>
      </c>
      <c r="AD16" s="66" t="s">
        <v>331</v>
      </c>
      <c r="AE16" s="63" t="s">
        <v>332</v>
      </c>
      <c r="AF16" s="63" t="s">
        <v>333</v>
      </c>
      <c r="AG16" s="63"/>
      <c r="AH16" s="63" t="s">
        <v>251</v>
      </c>
      <c r="AI16" s="63" t="s">
        <v>230</v>
      </c>
      <c r="AJ16" s="63">
        <v>60608</v>
      </c>
      <c r="AK16" s="62"/>
      <c r="AL16" s="71">
        <f t="shared" si="36"/>
        <v>17</v>
      </c>
      <c r="AM16" s="71">
        <f t="shared" ca="1" si="37"/>
        <v>19</v>
      </c>
      <c r="AN16" s="67">
        <v>37590</v>
      </c>
      <c r="AO16" s="72">
        <f t="shared" ca="1" si="38"/>
        <v>22</v>
      </c>
      <c r="AP16" s="63" t="s">
        <v>231</v>
      </c>
      <c r="AQ16" s="73" t="s">
        <v>232</v>
      </c>
      <c r="AR16" s="70" t="s">
        <v>233</v>
      </c>
      <c r="AS16" s="63">
        <v>1</v>
      </c>
      <c r="AT16" s="63" t="s">
        <v>334</v>
      </c>
      <c r="AU16" s="63" t="s">
        <v>334</v>
      </c>
      <c r="AV16" s="63" t="s">
        <v>334</v>
      </c>
      <c r="AW16" s="63" t="s">
        <v>334</v>
      </c>
      <c r="AX16" s="63" t="s">
        <v>335</v>
      </c>
      <c r="AY16" s="63" t="s">
        <v>238</v>
      </c>
      <c r="AZ16" s="63" t="s">
        <v>238</v>
      </c>
      <c r="BA16" s="63" t="s">
        <v>238</v>
      </c>
      <c r="BB16" s="63"/>
      <c r="BC16" s="63"/>
      <c r="BD16" s="62"/>
      <c r="BE16" s="71">
        <f t="shared" si="39"/>
        <v>0</v>
      </c>
      <c r="BF16" s="71">
        <f t="shared" si="39"/>
        <v>0</v>
      </c>
      <c r="BG16" s="71">
        <f t="shared" si="40"/>
        <v>0</v>
      </c>
      <c r="BH16" s="74" t="str">
        <f t="shared" si="41"/>
        <v xml:space="preserve"> </v>
      </c>
      <c r="BI16" s="75" t="str">
        <f t="shared" si="42"/>
        <v xml:space="preserve"> </v>
      </c>
      <c r="BJ16" s="71">
        <f t="shared" si="43"/>
        <v>0</v>
      </c>
      <c r="BK16" s="75" t="str">
        <f t="shared" si="44"/>
        <v xml:space="preserve"> </v>
      </c>
      <c r="BL16" s="76">
        <f t="shared" si="45"/>
        <v>0</v>
      </c>
      <c r="BM16" s="77">
        <f t="shared" si="45"/>
        <v>0</v>
      </c>
      <c r="BN16" s="78"/>
      <c r="BO16" s="67"/>
      <c r="BP16" s="67"/>
      <c r="BQ16" s="63"/>
      <c r="BR16" s="63"/>
      <c r="BS16" s="74" t="str">
        <f t="shared" si="49"/>
        <v xml:space="preserve"> </v>
      </c>
      <c r="BT16" s="79" t="s">
        <v>221</v>
      </c>
      <c r="BU16" s="79" t="s">
        <v>221</v>
      </c>
      <c r="BV16" s="80">
        <v>0</v>
      </c>
      <c r="BW16" s="81">
        <v>0</v>
      </c>
      <c r="BX16" s="82"/>
      <c r="BY16" s="83"/>
      <c r="BZ16" s="83"/>
      <c r="CA16" s="84"/>
      <c r="CB16" s="84"/>
      <c r="CC16" s="74" t="str">
        <f t="shared" si="50"/>
        <v xml:space="preserve"> </v>
      </c>
      <c r="CD16" s="79" t="s">
        <v>221</v>
      </c>
      <c r="CE16" s="81">
        <v>0</v>
      </c>
      <c r="CF16" s="85"/>
      <c r="CG16" s="85"/>
      <c r="CH16" s="85"/>
      <c r="CI16" s="78"/>
      <c r="CJ16" s="78"/>
      <c r="CK16" s="74" t="str">
        <f t="shared" si="51"/>
        <v xml:space="preserve"> </v>
      </c>
      <c r="CL16" s="79" t="s">
        <v>221</v>
      </c>
      <c r="CM16" s="79" t="s">
        <v>221</v>
      </c>
      <c r="CN16" s="86" t="s">
        <v>221</v>
      </c>
      <c r="CO16" s="81">
        <v>0</v>
      </c>
      <c r="CP16" s="87"/>
      <c r="CQ16" s="83"/>
      <c r="CR16" s="83"/>
      <c r="CS16" s="82"/>
      <c r="CT16" s="82"/>
      <c r="CU16" s="74" t="str">
        <f t="shared" si="52"/>
        <v xml:space="preserve"> </v>
      </c>
      <c r="CV16" s="79" t="s">
        <v>221</v>
      </c>
      <c r="CW16" s="79" t="s">
        <v>221</v>
      </c>
      <c r="CX16" s="88" t="s">
        <v>221</v>
      </c>
      <c r="CY16" s="81">
        <v>0</v>
      </c>
      <c r="CZ16" s="89"/>
      <c r="DA16" s="67"/>
      <c r="DB16" s="67"/>
      <c r="DC16" s="78"/>
      <c r="DD16" s="78"/>
      <c r="DE16" s="74" t="str">
        <f t="shared" si="53"/>
        <v xml:space="preserve"> </v>
      </c>
      <c r="DF16" s="79" t="s">
        <v>221</v>
      </c>
      <c r="DG16" s="79" t="s">
        <v>221</v>
      </c>
      <c r="DH16" s="79" t="s">
        <v>221</v>
      </c>
      <c r="DI16" s="81">
        <v>0</v>
      </c>
      <c r="DJ16" s="87"/>
      <c r="DK16" s="83"/>
      <c r="DL16" s="83"/>
      <c r="DM16" s="82"/>
      <c r="DN16" s="82"/>
      <c r="DO16" s="74" t="str">
        <f t="shared" si="54"/>
        <v xml:space="preserve"> </v>
      </c>
      <c r="DP16" s="79" t="s">
        <v>221</v>
      </c>
      <c r="DQ16" s="79" t="s">
        <v>221</v>
      </c>
      <c r="DR16" s="79" t="s">
        <v>221</v>
      </c>
      <c r="DS16" s="81">
        <v>0</v>
      </c>
      <c r="DT16" s="89"/>
      <c r="DU16" s="67"/>
      <c r="DV16" s="67"/>
      <c r="DW16" s="78"/>
      <c r="DX16" s="78"/>
      <c r="DY16" s="74" t="str">
        <f t="shared" si="55"/>
        <v xml:space="preserve"> </v>
      </c>
      <c r="DZ16" s="90">
        <v>0</v>
      </c>
      <c r="EA16" s="90">
        <v>0</v>
      </c>
      <c r="EB16" s="90">
        <v>0</v>
      </c>
      <c r="EC16" s="91">
        <v>0</v>
      </c>
      <c r="ED16" s="87" t="s">
        <v>336</v>
      </c>
      <c r="EE16" s="83"/>
      <c r="EF16" s="83"/>
      <c r="EG16" s="82"/>
      <c r="EH16" s="82"/>
      <c r="EI16" s="74" t="str">
        <f t="shared" si="46"/>
        <v xml:space="preserve"> </v>
      </c>
      <c r="EJ16" s="92">
        <v>0</v>
      </c>
      <c r="EK16" s="92">
        <v>0</v>
      </c>
      <c r="EL16" s="92">
        <v>0</v>
      </c>
      <c r="EM16" s="93">
        <v>0</v>
      </c>
      <c r="EN16" s="89"/>
      <c r="EO16" s="67"/>
      <c r="EP16" s="67"/>
      <c r="EQ16" s="78">
        <v>0</v>
      </c>
      <c r="ER16" s="78">
        <v>0</v>
      </c>
      <c r="ES16" s="74" t="str">
        <f t="shared" si="47"/>
        <v xml:space="preserve"> </v>
      </c>
      <c r="ET16" s="94">
        <v>0</v>
      </c>
      <c r="EU16" s="94"/>
      <c r="EV16" s="94">
        <v>0</v>
      </c>
      <c r="EW16" s="95">
        <v>0</v>
      </c>
      <c r="EX16" s="87"/>
      <c r="EY16" s="83"/>
      <c r="EZ16" s="83"/>
      <c r="FA16" s="82"/>
      <c r="FB16" s="82"/>
      <c r="FC16" s="74" t="str">
        <f t="shared" si="56"/>
        <v xml:space="preserve"> </v>
      </c>
      <c r="FD16" s="92"/>
      <c r="FE16" s="92"/>
      <c r="FF16" s="92"/>
      <c r="FG16" s="92"/>
      <c r="FH16" s="76">
        <f t="shared" si="57"/>
        <v>0</v>
      </c>
      <c r="FI16" s="89"/>
      <c r="FJ16" s="67"/>
      <c r="FK16" s="67"/>
      <c r="FL16" s="78"/>
      <c r="FM16" s="78"/>
      <c r="FN16" s="74" t="str">
        <f t="shared" si="58"/>
        <v xml:space="preserve"> </v>
      </c>
      <c r="FO16" s="94"/>
      <c r="FP16" s="94"/>
      <c r="FQ16" s="94"/>
      <c r="FR16" s="94"/>
      <c r="FS16" s="76">
        <f t="shared" si="59"/>
        <v>0</v>
      </c>
      <c r="FT16" s="87"/>
      <c r="FU16" s="83"/>
      <c r="FV16" s="83"/>
      <c r="FW16" s="82"/>
      <c r="FX16" s="82"/>
      <c r="FY16" s="74" t="str">
        <f t="shared" si="60"/>
        <v xml:space="preserve"> </v>
      </c>
      <c r="FZ16" s="92"/>
      <c r="GA16" s="92"/>
      <c r="GB16" s="92"/>
      <c r="GC16" s="92"/>
      <c r="GD16" s="76">
        <f t="shared" si="61"/>
        <v>0</v>
      </c>
      <c r="GE16" s="62"/>
      <c r="GF16" s="96" t="s">
        <v>221</v>
      </c>
      <c r="GG16" s="96" t="s">
        <v>221</v>
      </c>
      <c r="GH16" s="63"/>
      <c r="GI16" s="63" t="s">
        <v>221</v>
      </c>
      <c r="GJ16" s="63" t="s">
        <v>221</v>
      </c>
      <c r="GK16" s="97">
        <f t="shared" si="24"/>
        <v>0</v>
      </c>
      <c r="GL16" s="63" t="s">
        <v>221</v>
      </c>
      <c r="GM16" s="98"/>
      <c r="GN16" s="97">
        <f t="shared" si="62"/>
        <v>0</v>
      </c>
      <c r="GO16" s="97" t="str">
        <f t="shared" si="63"/>
        <v xml:space="preserve"> </v>
      </c>
      <c r="GP16" s="62"/>
      <c r="GQ16" s="63" t="s">
        <v>213</v>
      </c>
      <c r="GR16" s="63" t="s">
        <v>213</v>
      </c>
      <c r="GS16" s="63" t="s">
        <v>213</v>
      </c>
      <c r="GT16" s="63" t="s">
        <v>213</v>
      </c>
      <c r="GU16" s="63" t="s">
        <v>213</v>
      </c>
      <c r="GV16" s="63" t="s">
        <v>337</v>
      </c>
      <c r="GW16" s="63" t="s">
        <v>213</v>
      </c>
      <c r="GX16" s="63" t="s">
        <v>238</v>
      </c>
      <c r="GY16" s="65" t="s">
        <v>213</v>
      </c>
      <c r="GZ16" s="65" t="s">
        <v>213</v>
      </c>
      <c r="HA16" s="63" t="s">
        <v>213</v>
      </c>
      <c r="HB16" s="63" t="s">
        <v>213</v>
      </c>
      <c r="HC16" s="63"/>
      <c r="HD16" s="63"/>
      <c r="HE16" s="63"/>
      <c r="HF16" s="63"/>
      <c r="HG16" s="63" t="s">
        <v>213</v>
      </c>
      <c r="HH16" s="63"/>
      <c r="HI16" s="63"/>
      <c r="HJ16" s="63">
        <v>1</v>
      </c>
      <c r="HK16" s="63"/>
      <c r="HL16" s="65" t="str">
        <f t="shared" si="68"/>
        <v/>
      </c>
      <c r="HM16" s="65" t="str">
        <f t="shared" si="66"/>
        <v/>
      </c>
      <c r="HN16" s="65" t="s">
        <v>239</v>
      </c>
      <c r="HO16" s="65" t="str">
        <f t="shared" si="69"/>
        <v/>
      </c>
      <c r="HP16" s="99" t="str">
        <f t="shared" si="67"/>
        <v/>
      </c>
      <c r="HQ16" s="99" t="s">
        <v>239</v>
      </c>
      <c r="HR16" s="63"/>
      <c r="HS16" s="63"/>
      <c r="HT16" s="63"/>
      <c r="HU16" s="63" t="s">
        <v>213</v>
      </c>
      <c r="HV16" s="63"/>
      <c r="HW16" s="63"/>
      <c r="HX16" s="63"/>
      <c r="HY16" s="63"/>
      <c r="HZ16" s="63"/>
      <c r="IA16" s="63"/>
      <c r="IB16" s="63"/>
      <c r="IC16" s="63" t="s">
        <v>213</v>
      </c>
      <c r="ID16" s="96"/>
      <c r="IE16" s="100" t="s">
        <v>213</v>
      </c>
      <c r="IF16" s="100" t="s">
        <v>213</v>
      </c>
      <c r="IG16" s="100" t="s">
        <v>213</v>
      </c>
      <c r="IH16" s="100" t="s">
        <v>213</v>
      </c>
      <c r="II16" s="100" t="s">
        <v>213</v>
      </c>
      <c r="IJ16" s="100" t="s">
        <v>213</v>
      </c>
      <c r="IK16" s="100" t="s">
        <v>213</v>
      </c>
      <c r="IL16" s="63" t="s">
        <v>213</v>
      </c>
      <c r="IM16" s="62"/>
      <c r="IN16" s="101">
        <v>6.4</v>
      </c>
      <c r="IO16" s="101"/>
      <c r="IP16" s="63"/>
      <c r="IQ16" s="63"/>
      <c r="IR16" s="63"/>
      <c r="IS16" s="63"/>
      <c r="IT16" s="63"/>
      <c r="IU16" s="63"/>
      <c r="IV16" s="63"/>
      <c r="IW16" s="63"/>
      <c r="IX16" s="63"/>
      <c r="IY16" s="63"/>
      <c r="IZ16" s="63"/>
      <c r="JA16" s="65">
        <f t="shared" si="48"/>
        <v>0</v>
      </c>
      <c r="JB16" s="63"/>
      <c r="JC16" s="101">
        <v>5.3</v>
      </c>
      <c r="JD16" s="101"/>
      <c r="JE16" s="63"/>
      <c r="JF16" s="63"/>
      <c r="JG16" s="63"/>
      <c r="JH16" s="63"/>
      <c r="JI16" s="63"/>
      <c r="JJ16" s="63"/>
      <c r="JK16" s="63"/>
      <c r="JL16" s="63"/>
      <c r="JM16" s="63"/>
      <c r="JN16" s="96"/>
      <c r="JO16" s="96"/>
      <c r="JP16" s="65">
        <f t="shared" si="29"/>
        <v>0</v>
      </c>
      <c r="JQ16" s="96">
        <f>JK16-JF16</f>
        <v>0</v>
      </c>
      <c r="LM16" s="205"/>
      <c r="LN16" s="102">
        <f>IFERROR(ROWS($IL$8:IL16)," ")</f>
        <v>9</v>
      </c>
      <c r="LO16" s="103" t="str">
        <f>IFERROR(IF([1]Checklist!$C$3='GenInfo (2)'!E16,'GenInfo (2)'!LN16," ")," ")</f>
        <v xml:space="preserve"> </v>
      </c>
      <c r="LP16" s="104" t="str">
        <f>IFERROR(SMALL($LO$8:$LO$94,ROWS($IL$8:IL16))," ")</f>
        <v xml:space="preserve"> </v>
      </c>
      <c r="LQ16" s="102">
        <f>IFERROR(ROWS($IL$8:IL16)," ")</f>
        <v>9</v>
      </c>
      <c r="LR16" s="103" t="str">
        <f>IFERROR(IF([1]Checklist!$C$4='GenInfo (2)'!E16,'GenInfo (2)'!LQ16," ")," ")</f>
        <v xml:space="preserve"> </v>
      </c>
      <c r="LS16" s="104" t="str">
        <f>IFERROR(SMALL($LR$8:$LR$94,ROWS($IL$8:IL16))," ")</f>
        <v xml:space="preserve"> </v>
      </c>
      <c r="LT16" s="102">
        <f>IFERROR(ROWS($IL$8:IL16)," ")</f>
        <v>9</v>
      </c>
      <c r="LU16" s="103">
        <f>IFERROR(IF([1]Checklist!$C$5='GenInfo (2)'!E16,'GenInfo (2)'!LT16," ")," ")</f>
        <v>9</v>
      </c>
      <c r="LV16" s="104" t="str">
        <f>IFERROR(SMALL($LU$8:$LU$94,ROWS($IL$8:IL16))," ")</f>
        <v xml:space="preserve"> </v>
      </c>
      <c r="LW16" s="102">
        <f>IFERROR(ROWS($IL$8:IL16)," ")</f>
        <v>9</v>
      </c>
      <c r="LX16" s="103" t="str">
        <f>IFERROR(IF([1]Checklist!$C$6='GenInfo (2)'!E16,'GenInfo (2)'!LW16," ")," ")</f>
        <v xml:space="preserve"> </v>
      </c>
      <c r="LY16" s="104" t="str">
        <f>IFERROR(SMALL($LX$8:$LX$94,ROWS($IL$8:IL16))," ")</f>
        <v xml:space="preserve"> </v>
      </c>
      <c r="LZ16" s="102">
        <f>IFERROR(ROWS($IL$8:IL16)," ")</f>
        <v>9</v>
      </c>
      <c r="MA16" s="103" t="str">
        <f>IFERROR(IF([1]Checklist!$C$7='GenInfo (2)'!E16,'GenInfo (2)'!LZ16," ")," ")</f>
        <v xml:space="preserve"> </v>
      </c>
      <c r="MB16" s="104" t="str">
        <f>IFERROR(SMALL($MA$8:$MA$94,ROWS($IL$8:IL16))," ")</f>
        <v xml:space="preserve"> </v>
      </c>
      <c r="MC16" s="102">
        <f>IFERROR(ROWS($IL$8:IL16)," ")</f>
        <v>9</v>
      </c>
      <c r="MD16" s="103" t="str">
        <f>IFERROR(IF([1]Checklist!$C$8='GenInfo (2)'!E16,'GenInfo (2)'!MC16," ")," ")</f>
        <v xml:space="preserve"> </v>
      </c>
      <c r="ME16" s="104" t="str">
        <f>IFERROR(SMALL($MD$8:$MD$94,ROWS($IL$8:IL16))," ")</f>
        <v xml:space="preserve"> </v>
      </c>
      <c r="MF16" s="102">
        <f>IFERROR(ROWS($IL$8:IL16)," ")</f>
        <v>9</v>
      </c>
      <c r="MG16" s="103" t="str">
        <f>IFERROR(IF([1]Checklist!$C$9='GenInfo (2)'!E16,'GenInfo (2)'!MF16," ")," ")</f>
        <v xml:space="preserve"> </v>
      </c>
      <c r="MH16" s="104" t="str">
        <f>IFERROR(SMALL($MG$8:$MG$94,ROWS($IL$8:IL16))," ")</f>
        <v xml:space="preserve"> </v>
      </c>
      <c r="MI16" s="102">
        <f>IFERROR(ROWS($IL$8:$IL16)," ")</f>
        <v>9</v>
      </c>
      <c r="MJ16" s="103" t="str">
        <f>IFERROR(IF([1]Checklist!$C$10='GenInfo (2)'!E16,'GenInfo (2)'!MI16," ")," ")</f>
        <v xml:space="preserve"> </v>
      </c>
      <c r="MK16" s="104" t="str">
        <f>IFERROR(SMALL($MJ$8:$MJ$94,ROWS($IL$8:IL16))," ")</f>
        <v xml:space="preserve"> </v>
      </c>
      <c r="ML16" s="102">
        <f>IFERROR(ROWS($IL$8:IL16)," ")</f>
        <v>9</v>
      </c>
      <c r="MM16" s="103" t="str">
        <f>IFERROR(IF([1]Checklist!$C$11='GenInfo (2)'!E16,'GenInfo (2)'!ML16," ")," ")</f>
        <v xml:space="preserve"> </v>
      </c>
      <c r="MN16" s="104" t="str">
        <f>IFERROR(SMALL($MM$8:$MM$94,ROWS($IL$8:IL16))," ")</f>
        <v xml:space="preserve"> </v>
      </c>
      <c r="MO16" s="102">
        <f>IFERROR(ROWS($IL$8:IL16)," ")</f>
        <v>9</v>
      </c>
      <c r="MP16" s="103" t="str">
        <f>IFERROR(IF([1]Checklist!$C$12='GenInfo (2)'!E16,'GenInfo (2)'!MO16," ")," ")</f>
        <v xml:space="preserve"> </v>
      </c>
      <c r="MQ16" s="104" t="str">
        <f>IFERROR(SMALL($MP$8:$MP$94,ROWS($IL$8:IL16))," ")</f>
        <v xml:space="preserve"> </v>
      </c>
      <c r="MR16" s="102">
        <f>IFERROR(ROWS($IL$8:IL16)," ")</f>
        <v>9</v>
      </c>
      <c r="MS16" s="103" t="str">
        <f>IFERROR(IF([1]Checklist!$C$13='GenInfo (2)'!E16,'GenInfo (2)'!MR16," ")," ")</f>
        <v xml:space="preserve"> </v>
      </c>
      <c r="MT16" s="104" t="str">
        <f>IFERROR(SMALL($MS$8:$MS$94,ROWS($IL$8:IL16))," ")</f>
        <v xml:space="preserve"> </v>
      </c>
      <c r="MU16" s="102">
        <f>IFERROR(ROWS($IL$8:IL16)," ")</f>
        <v>9</v>
      </c>
      <c r="MV16" s="103" t="str">
        <f>IFERROR(IF([1]Checklist!$C$14='GenInfo (2)'!E16,'GenInfo (2)'!MU16," ")," ")</f>
        <v xml:space="preserve"> </v>
      </c>
      <c r="MW16" s="104" t="str">
        <f>IFERROR(SMALL($MV$8:$MV$94,ROWS($IL$8:IL16))," ")</f>
        <v xml:space="preserve"> </v>
      </c>
      <c r="MX16" s="102">
        <f>IFERROR(ROWS($IL$8:IL16)," ")</f>
        <v>9</v>
      </c>
      <c r="MY16" s="103" t="str">
        <f>IFERROR(IF([1]Checklist!$C$15='GenInfo (2)'!E16,'GenInfo (2)'!MX16," ")," ")</f>
        <v xml:space="preserve"> </v>
      </c>
      <c r="MZ16" s="104" t="str">
        <f>IFERROR(SMALL($MY$8:$MY$94,ROWS($IL$8:IL16))," ")</f>
        <v xml:space="preserve"> </v>
      </c>
      <c r="NA16" s="102">
        <f>IFERROR(ROWS($IL$8:IL16)," ")</f>
        <v>9</v>
      </c>
      <c r="NB16" s="103" t="str">
        <f>IFERROR(IF([1]Checklist!$C$16='GenInfo (2)'!E16,'GenInfo (2)'!NA16," ")," ")</f>
        <v xml:space="preserve"> </v>
      </c>
      <c r="NC16" s="104" t="str">
        <f>IFERROR(SMALL($NB$8:$NB$94,ROWS($IL$8:IL16))," ")</f>
        <v xml:space="preserve"> </v>
      </c>
      <c r="ND16" s="102">
        <f>IFERROR(ROWS($IL$8:IL16)," ")</f>
        <v>9</v>
      </c>
      <c r="NE16" s="103" t="str">
        <f>IFERROR(IF([1]Checklist!$C$17='GenInfo (2)'!E16,'GenInfo (2)'!ND16," ")," ")</f>
        <v xml:space="preserve"> </v>
      </c>
      <c r="NF16" s="104" t="str">
        <f>IFERROR(SMALL($NE$8:$NE$94,ROWS($IL$8:IL16))," ")</f>
        <v xml:space="preserve"> </v>
      </c>
    </row>
    <row r="17" spans="1:370" ht="14.25" x14ac:dyDescent="0.45">
      <c r="A17" s="37" t="s">
        <v>213</v>
      </c>
      <c r="B17" s="37">
        <v>66</v>
      </c>
      <c r="C17" s="146" t="s">
        <v>338</v>
      </c>
      <c r="D17" t="s">
        <v>339</v>
      </c>
      <c r="E17" s="107" t="s">
        <v>340</v>
      </c>
      <c r="F17" s="96" t="s">
        <v>341</v>
      </c>
      <c r="G17" s="107" t="s">
        <v>342</v>
      </c>
      <c r="H17" s="96"/>
      <c r="I17" s="132" t="s">
        <v>343</v>
      </c>
      <c r="J17" s="96" t="s">
        <v>344</v>
      </c>
      <c r="K17" s="111"/>
      <c r="L17" s="108">
        <v>43696</v>
      </c>
      <c r="M17" s="108">
        <v>43696</v>
      </c>
      <c r="N17" s="108" t="s">
        <v>213</v>
      </c>
      <c r="O17" s="109">
        <v>43709</v>
      </c>
      <c r="P17" s="108">
        <v>43712</v>
      </c>
      <c r="Q17" s="108">
        <v>43742</v>
      </c>
      <c r="R17" s="96" t="s">
        <v>297</v>
      </c>
      <c r="S17" s="108"/>
      <c r="T17" s="96"/>
      <c r="U17" s="111"/>
      <c r="V17" s="108">
        <v>43726</v>
      </c>
      <c r="W17" s="108">
        <v>43864</v>
      </c>
      <c r="X17" s="110"/>
      <c r="Y17" s="108"/>
      <c r="Z17" s="110"/>
      <c r="AA17" s="111"/>
      <c r="AB17" s="96" t="s">
        <v>345</v>
      </c>
      <c r="AC17" s="96" t="s">
        <v>346</v>
      </c>
      <c r="AD17" s="96" t="s">
        <v>347</v>
      </c>
      <c r="AE17" s="96" t="s">
        <v>348</v>
      </c>
      <c r="AF17" s="96" t="s">
        <v>349</v>
      </c>
      <c r="AG17" s="96" t="s">
        <v>350</v>
      </c>
      <c r="AH17" s="96" t="s">
        <v>251</v>
      </c>
      <c r="AI17" s="96" t="s">
        <v>230</v>
      </c>
      <c r="AJ17" s="96">
        <v>60605</v>
      </c>
      <c r="AK17" s="111"/>
      <c r="AL17" s="71">
        <f t="shared" si="36"/>
        <v>17</v>
      </c>
      <c r="AM17" s="71">
        <f t="shared" ca="1" si="37"/>
        <v>20</v>
      </c>
      <c r="AN17" s="108">
        <v>37153</v>
      </c>
      <c r="AO17" s="72">
        <f t="shared" ca="1" si="38"/>
        <v>7</v>
      </c>
      <c r="AP17" s="108" t="s">
        <v>231</v>
      </c>
      <c r="AQ17" s="113" t="s">
        <v>264</v>
      </c>
      <c r="AR17" s="107" t="s">
        <v>276</v>
      </c>
      <c r="AS17" s="96">
        <v>2</v>
      </c>
      <c r="AT17" s="96"/>
      <c r="AU17" s="96">
        <v>17</v>
      </c>
      <c r="AV17" s="96">
        <v>1</v>
      </c>
      <c r="AW17" s="96">
        <v>33</v>
      </c>
      <c r="AX17" s="96" t="s">
        <v>351</v>
      </c>
      <c r="AY17" s="96" t="s">
        <v>235</v>
      </c>
      <c r="AZ17" s="96" t="s">
        <v>235</v>
      </c>
      <c r="BA17" s="96" t="s">
        <v>235</v>
      </c>
      <c r="BB17" s="96"/>
      <c r="BC17" s="96"/>
      <c r="BD17" s="111"/>
      <c r="BE17" s="71">
        <f t="shared" si="39"/>
        <v>5</v>
      </c>
      <c r="BF17" s="71">
        <f t="shared" si="39"/>
        <v>3</v>
      </c>
      <c r="BG17" s="71">
        <f t="shared" si="40"/>
        <v>3</v>
      </c>
      <c r="BH17" s="74">
        <f t="shared" si="41"/>
        <v>0.32657004830917874</v>
      </c>
      <c r="BI17" s="75">
        <f t="shared" si="42"/>
        <v>0.6</v>
      </c>
      <c r="BJ17" s="71">
        <f t="shared" si="43"/>
        <v>0</v>
      </c>
      <c r="BK17" s="75">
        <f t="shared" si="44"/>
        <v>0</v>
      </c>
      <c r="BL17" s="76">
        <f t="shared" si="45"/>
        <v>0</v>
      </c>
      <c r="BM17" s="77">
        <f t="shared" si="45"/>
        <v>12</v>
      </c>
      <c r="BN17" s="114"/>
      <c r="BO17" s="108"/>
      <c r="BP17" s="108"/>
      <c r="BQ17" s="96"/>
      <c r="BR17" s="96"/>
      <c r="BS17" s="74" t="str">
        <f t="shared" si="49"/>
        <v xml:space="preserve"> </v>
      </c>
      <c r="BT17" s="79">
        <v>0</v>
      </c>
      <c r="BU17" s="79">
        <v>0</v>
      </c>
      <c r="BV17" s="80">
        <v>0</v>
      </c>
      <c r="BW17" s="81">
        <v>0</v>
      </c>
      <c r="BX17" s="116"/>
      <c r="BY17" s="121"/>
      <c r="BZ17" s="121"/>
      <c r="CA17" s="118"/>
      <c r="CB17" s="118"/>
      <c r="CC17" s="74" t="str">
        <f t="shared" si="50"/>
        <v xml:space="preserve"> </v>
      </c>
      <c r="CD17" s="79">
        <v>0</v>
      </c>
      <c r="CE17" s="81">
        <v>0</v>
      </c>
      <c r="CF17" s="119"/>
      <c r="CG17" s="119"/>
      <c r="CH17" s="119"/>
      <c r="CI17" s="114">
        <v>18</v>
      </c>
      <c r="CJ17" s="114">
        <v>17</v>
      </c>
      <c r="CK17" s="74">
        <f t="shared" si="51"/>
        <v>0.94444444444444442</v>
      </c>
      <c r="CL17" s="79">
        <v>0</v>
      </c>
      <c r="CM17" s="79">
        <v>0</v>
      </c>
      <c r="CN17" s="86">
        <v>0</v>
      </c>
      <c r="CO17" s="81">
        <v>0</v>
      </c>
      <c r="CP17" s="120"/>
      <c r="CQ17" s="121"/>
      <c r="CR17" s="121"/>
      <c r="CS17" s="116">
        <v>23</v>
      </c>
      <c r="CT17" s="116">
        <v>12</v>
      </c>
      <c r="CU17" s="74">
        <f t="shared" si="52"/>
        <v>0.52173913043478259</v>
      </c>
      <c r="CV17" s="79">
        <v>12</v>
      </c>
      <c r="CW17" s="79">
        <v>0</v>
      </c>
      <c r="CX17" s="88">
        <v>12</v>
      </c>
      <c r="CY17" s="81">
        <v>156</v>
      </c>
      <c r="CZ17" s="122"/>
      <c r="DA17" s="108"/>
      <c r="DB17" s="108"/>
      <c r="DC17" s="114">
        <v>18</v>
      </c>
      <c r="DD17" s="114">
        <v>3</v>
      </c>
      <c r="DE17" s="74">
        <f t="shared" si="53"/>
        <v>0.16666666666666666</v>
      </c>
      <c r="DF17" s="79">
        <v>0</v>
      </c>
      <c r="DG17" s="79">
        <v>0</v>
      </c>
      <c r="DH17" s="79">
        <v>0</v>
      </c>
      <c r="DI17" s="81">
        <v>0</v>
      </c>
      <c r="DJ17" s="120"/>
      <c r="DK17" s="121"/>
      <c r="DL17" s="121"/>
      <c r="DM17" s="116">
        <v>15</v>
      </c>
      <c r="DN17" s="116">
        <v>0</v>
      </c>
      <c r="DO17" s="74">
        <f t="shared" si="54"/>
        <v>0</v>
      </c>
      <c r="DP17" s="79">
        <v>0</v>
      </c>
      <c r="DQ17" s="79">
        <v>0</v>
      </c>
      <c r="DR17" s="79">
        <v>0</v>
      </c>
      <c r="DS17" s="81">
        <v>0</v>
      </c>
      <c r="DT17" s="122"/>
      <c r="DU17" s="108"/>
      <c r="DV17" s="108"/>
      <c r="DW17" s="114">
        <v>19</v>
      </c>
      <c r="DX17" s="114">
        <v>0</v>
      </c>
      <c r="DY17" s="74">
        <f t="shared" si="55"/>
        <v>0</v>
      </c>
      <c r="DZ17" s="90">
        <v>0</v>
      </c>
      <c r="EA17" s="90">
        <v>0</v>
      </c>
      <c r="EB17" s="90">
        <v>0</v>
      </c>
      <c r="EC17" s="91">
        <v>0</v>
      </c>
      <c r="ED17" s="120"/>
      <c r="EE17" s="121"/>
      <c r="EF17" s="121"/>
      <c r="EG17" s="116"/>
      <c r="EH17" s="116"/>
      <c r="EI17" s="74" t="str">
        <f t="shared" si="46"/>
        <v xml:space="preserve"> </v>
      </c>
      <c r="EJ17" s="92">
        <v>0</v>
      </c>
      <c r="EK17" s="92">
        <v>0</v>
      </c>
      <c r="EL17" s="92">
        <v>0</v>
      </c>
      <c r="EM17" s="93">
        <v>0</v>
      </c>
      <c r="EN17" s="122"/>
      <c r="EO17" s="108"/>
      <c r="EP17" s="108"/>
      <c r="EQ17" s="114"/>
      <c r="ER17" s="114"/>
      <c r="ES17" s="74" t="str">
        <f t="shared" si="47"/>
        <v xml:space="preserve"> </v>
      </c>
      <c r="ET17" s="94">
        <v>0</v>
      </c>
      <c r="EU17" s="90"/>
      <c r="EV17" s="94">
        <v>0</v>
      </c>
      <c r="EW17" s="95">
        <v>0</v>
      </c>
      <c r="EX17" s="120"/>
      <c r="EY17" s="121"/>
      <c r="EZ17" s="121"/>
      <c r="FA17" s="116"/>
      <c r="FB17" s="116"/>
      <c r="FC17" s="74" t="str">
        <f t="shared" si="56"/>
        <v xml:space="preserve"> </v>
      </c>
      <c r="FD17" s="123"/>
      <c r="FE17" s="123"/>
      <c r="FF17" s="123"/>
      <c r="FG17" s="123"/>
      <c r="FH17" s="76">
        <f t="shared" si="57"/>
        <v>0</v>
      </c>
      <c r="FI17" s="122"/>
      <c r="FJ17" s="108"/>
      <c r="FK17" s="108"/>
      <c r="FL17" s="114"/>
      <c r="FM17" s="114"/>
      <c r="FN17" s="74" t="str">
        <f t="shared" si="58"/>
        <v xml:space="preserve"> </v>
      </c>
      <c r="FO17" s="90"/>
      <c r="FP17" s="90"/>
      <c r="FQ17" s="90"/>
      <c r="FR17" s="90"/>
      <c r="FS17" s="76">
        <f t="shared" si="59"/>
        <v>0</v>
      </c>
      <c r="FT17" s="120"/>
      <c r="FU17" s="121"/>
      <c r="FV17" s="121"/>
      <c r="FW17" s="116"/>
      <c r="FX17" s="116"/>
      <c r="FY17" s="74" t="str">
        <f t="shared" si="60"/>
        <v xml:space="preserve"> </v>
      </c>
      <c r="FZ17" s="123"/>
      <c r="GA17" s="123"/>
      <c r="GB17" s="123"/>
      <c r="GC17" s="123"/>
      <c r="GD17" s="76">
        <f t="shared" si="61"/>
        <v>0</v>
      </c>
      <c r="GE17" s="111"/>
      <c r="GF17" s="96">
        <v>7.5</v>
      </c>
      <c r="GG17" s="96" t="s">
        <v>351</v>
      </c>
      <c r="GH17" s="96"/>
      <c r="GI17" s="63"/>
      <c r="GJ17" s="63"/>
      <c r="GK17" s="97">
        <f t="shared" si="24"/>
        <v>0</v>
      </c>
      <c r="GL17" s="63">
        <v>0</v>
      </c>
      <c r="GM17" s="79"/>
      <c r="GN17" s="97">
        <f t="shared" ref="GN17:GN24" si="72">IFERROR(SUM(GL17:GM17)," ")</f>
        <v>0</v>
      </c>
      <c r="GO17" s="97">
        <f t="shared" si="63"/>
        <v>7.5</v>
      </c>
      <c r="GP17" s="111"/>
      <c r="GQ17" s="96" t="s">
        <v>213</v>
      </c>
      <c r="GR17" s="96" t="s">
        <v>213</v>
      </c>
      <c r="GS17" s="96" t="s">
        <v>213</v>
      </c>
      <c r="GT17" s="96" t="s">
        <v>213</v>
      </c>
      <c r="GU17" s="96" t="s">
        <v>213</v>
      </c>
      <c r="GV17" s="96" t="s">
        <v>237</v>
      </c>
      <c r="GW17" s="96" t="s">
        <v>213</v>
      </c>
      <c r="GX17" s="96" t="s">
        <v>238</v>
      </c>
      <c r="GY17" s="65" t="str">
        <f>IFERROR(IF(IN17&gt;0,"X",""),"")</f>
        <v>X</v>
      </c>
      <c r="GZ17" s="65" t="str">
        <f>IFERROR(IF(JC17&gt;0,"X",""),"")</f>
        <v>X</v>
      </c>
      <c r="HA17" s="96" t="s">
        <v>237</v>
      </c>
      <c r="HB17" s="96" t="s">
        <v>237</v>
      </c>
      <c r="HC17" s="96"/>
      <c r="HD17" s="96"/>
      <c r="HE17" s="96"/>
      <c r="HF17" s="96"/>
      <c r="HG17" s="96" t="s">
        <v>213</v>
      </c>
      <c r="HH17" s="96"/>
      <c r="HI17" s="96"/>
      <c r="HJ17" s="96"/>
      <c r="HK17" s="96"/>
      <c r="HL17" s="65" t="str">
        <f>IFERROR(IF(OR(IQ17&gt;0,IR17&gt;0,IS17&gt;0),"x",""),"")</f>
        <v>x</v>
      </c>
      <c r="HM17" s="65" t="str">
        <f t="shared" si="66"/>
        <v/>
      </c>
      <c r="HN17" s="65" t="str">
        <f>IFERROR(IF(OR(IW17&gt;0,IX17&gt;0,IY17&gt;0,IZ17&gt;0),"x",""),"")</f>
        <v/>
      </c>
      <c r="HO17" s="65" t="str">
        <f>IFERROR(IF(OR(JE17&gt;0,JF17&gt;0,JG17&gt;0,JH17&gt;0),"x",""),"")</f>
        <v>x</v>
      </c>
      <c r="HP17" s="65" t="str">
        <f t="shared" si="67"/>
        <v/>
      </c>
      <c r="HQ17" s="65" t="str">
        <f>IFERROR(IF(OR(JL17&gt;0,JM17&gt;0,JN17&gt;0,JO17&gt;0),"x",""),"")</f>
        <v/>
      </c>
      <c r="HR17" s="96"/>
      <c r="HS17" s="96" t="s">
        <v>213</v>
      </c>
      <c r="HT17" s="96"/>
      <c r="HU17" s="96"/>
      <c r="HV17" s="96"/>
      <c r="HW17" s="96"/>
      <c r="HX17" s="96"/>
      <c r="HY17" s="96"/>
      <c r="HZ17" s="63" t="s">
        <v>239</v>
      </c>
      <c r="IA17" s="96"/>
      <c r="IB17" s="96"/>
      <c r="IC17" s="96" t="s">
        <v>213</v>
      </c>
      <c r="ID17" s="96" t="s">
        <v>240</v>
      </c>
      <c r="IE17" s="100" t="s">
        <v>213</v>
      </c>
      <c r="IF17" s="100" t="s">
        <v>213</v>
      </c>
      <c r="IG17" s="100" t="s">
        <v>213</v>
      </c>
      <c r="IH17" s="100" t="s">
        <v>213</v>
      </c>
      <c r="II17" s="100" t="s">
        <v>213</v>
      </c>
      <c r="IJ17" s="100" t="s">
        <v>213</v>
      </c>
      <c r="IK17" s="100" t="s">
        <v>213</v>
      </c>
      <c r="IL17" s="96"/>
      <c r="IM17" s="111"/>
      <c r="IN17" s="125">
        <v>5.2</v>
      </c>
      <c r="IO17" s="125"/>
      <c r="IP17" s="96"/>
      <c r="IQ17" s="96">
        <v>5.2</v>
      </c>
      <c r="IR17" s="96"/>
      <c r="IS17" s="96"/>
      <c r="IT17" s="96"/>
      <c r="IU17" s="96"/>
      <c r="IV17" s="96"/>
      <c r="IW17" s="96"/>
      <c r="IX17" s="96"/>
      <c r="IY17" s="96"/>
      <c r="IZ17" s="96"/>
      <c r="JA17" s="65">
        <f t="shared" si="48"/>
        <v>1</v>
      </c>
      <c r="JB17" s="96"/>
      <c r="JC17" s="125">
        <v>8.1</v>
      </c>
      <c r="JD17" s="125"/>
      <c r="JE17" s="96"/>
      <c r="JF17" s="96">
        <v>8.1</v>
      </c>
      <c r="JG17" s="96"/>
      <c r="JH17" s="96"/>
      <c r="JI17" s="96"/>
      <c r="JJ17" s="96"/>
      <c r="JK17" s="96"/>
      <c r="JL17" s="96"/>
      <c r="JM17" s="96"/>
      <c r="JN17" s="63"/>
      <c r="JO17" s="63"/>
      <c r="JP17" s="65">
        <f t="shared" si="29"/>
        <v>1</v>
      </c>
      <c r="JQ17" s="63"/>
      <c r="LM17" s="205"/>
      <c r="LN17" s="102">
        <f>IFERROR(ROWS($IL$8:IL17)," ")</f>
        <v>10</v>
      </c>
      <c r="LO17" s="103" t="str">
        <f>IFERROR(IF([1]Checklist!$C$3='GenInfo (2)'!E17,'GenInfo (2)'!LN17," ")," ")</f>
        <v xml:space="preserve"> </v>
      </c>
      <c r="LP17" s="104" t="str">
        <f>IFERROR(SMALL($LO$8:$LO$94,ROWS($IL$8:IL17))," ")</f>
        <v xml:space="preserve"> </v>
      </c>
      <c r="LQ17" s="102">
        <f>IFERROR(ROWS($IL$8:IL17)," ")</f>
        <v>10</v>
      </c>
      <c r="LR17" s="103" t="str">
        <f>IFERROR(IF([1]Checklist!$C$4='GenInfo (2)'!E17,'GenInfo (2)'!LQ17," ")," ")</f>
        <v xml:space="preserve"> </v>
      </c>
      <c r="LS17" s="104" t="str">
        <f>IFERROR(SMALL($LR$8:$LR$94,ROWS($IL$8:IL17))," ")</f>
        <v xml:space="preserve"> </v>
      </c>
      <c r="LT17" s="102">
        <f>IFERROR(ROWS($IL$8:IL17)," ")</f>
        <v>10</v>
      </c>
      <c r="LU17" s="103" t="str">
        <f>IFERROR(IF([1]Checklist!$C$5='GenInfo (2)'!E17,'GenInfo (2)'!LT17," ")," ")</f>
        <v xml:space="preserve"> </v>
      </c>
      <c r="LV17" s="104" t="str">
        <f>IFERROR(SMALL($LU$8:$LU$94,ROWS($IL$8:IL17))," ")</f>
        <v xml:space="preserve"> </v>
      </c>
      <c r="LW17" s="102">
        <f>IFERROR(ROWS($IL$8:IL17)," ")</f>
        <v>10</v>
      </c>
      <c r="LX17" s="103">
        <f>IFERROR(IF([1]Checklist!$C$6='GenInfo (2)'!E17,'GenInfo (2)'!LW17," ")," ")</f>
        <v>10</v>
      </c>
      <c r="LY17" s="104" t="str">
        <f>IFERROR(SMALL($LX$8:$LX$94,ROWS($IL$8:IL17))," ")</f>
        <v xml:space="preserve"> </v>
      </c>
      <c r="LZ17" s="102">
        <f>IFERROR(ROWS($IL$8:IL17)," ")</f>
        <v>10</v>
      </c>
      <c r="MA17" s="103" t="str">
        <f>IFERROR(IF([1]Checklist!$C$7='GenInfo (2)'!E17,'GenInfo (2)'!LZ17," ")," ")</f>
        <v xml:space="preserve"> </v>
      </c>
      <c r="MB17" s="104" t="str">
        <f>IFERROR(SMALL($MA$8:$MA$94,ROWS($IL$8:IL17))," ")</f>
        <v xml:space="preserve"> </v>
      </c>
      <c r="MC17" s="102">
        <f>IFERROR(ROWS($IL$8:IL17)," ")</f>
        <v>10</v>
      </c>
      <c r="MD17" s="103" t="str">
        <f>IFERROR(IF([1]Checklist!$C$8='GenInfo (2)'!E17,'GenInfo (2)'!MC17," ")," ")</f>
        <v xml:space="preserve"> </v>
      </c>
      <c r="ME17" s="104" t="str">
        <f>IFERROR(SMALL($MD$8:$MD$94,ROWS($IL$8:IL17))," ")</f>
        <v xml:space="preserve"> </v>
      </c>
      <c r="MF17" s="102">
        <f>IFERROR(ROWS($IL$8:IL17)," ")</f>
        <v>10</v>
      </c>
      <c r="MG17" s="103" t="str">
        <f>IFERROR(IF([1]Checklist!$C$9='GenInfo (2)'!E17,'GenInfo (2)'!MF17," ")," ")</f>
        <v xml:space="preserve"> </v>
      </c>
      <c r="MH17" s="104" t="str">
        <f>IFERROR(SMALL($MG$8:$MG$94,ROWS($IL$8:IL17))," ")</f>
        <v xml:space="preserve"> </v>
      </c>
      <c r="MI17" s="102">
        <f>IFERROR(ROWS($IL$8:$IL17)," ")</f>
        <v>10</v>
      </c>
      <c r="MJ17" s="103" t="str">
        <f>IFERROR(IF([1]Checklist!$C$10='GenInfo (2)'!E17,'GenInfo (2)'!MI17," ")," ")</f>
        <v xml:space="preserve"> </v>
      </c>
      <c r="MK17" s="104" t="str">
        <f>IFERROR(SMALL($MJ$8:$MJ$94,ROWS($IL$8:IL17))," ")</f>
        <v xml:space="preserve"> </v>
      </c>
      <c r="ML17" s="102">
        <f>IFERROR(ROWS($IL$8:IL17)," ")</f>
        <v>10</v>
      </c>
      <c r="MM17" s="103" t="str">
        <f>IFERROR(IF([1]Checklist!$C$11='GenInfo (2)'!E17,'GenInfo (2)'!ML17," ")," ")</f>
        <v xml:space="preserve"> </v>
      </c>
      <c r="MN17" s="104" t="str">
        <f>IFERROR(SMALL($MM$8:$MM$94,ROWS($IL$8:IL17))," ")</f>
        <v xml:space="preserve"> </v>
      </c>
      <c r="MO17" s="102">
        <f>IFERROR(ROWS($IL$8:IL17)," ")</f>
        <v>10</v>
      </c>
      <c r="MP17" s="103" t="str">
        <f>IFERROR(IF([1]Checklist!$C$12='GenInfo (2)'!E17,'GenInfo (2)'!MO17," ")," ")</f>
        <v xml:space="preserve"> </v>
      </c>
      <c r="MQ17" s="104" t="str">
        <f>IFERROR(SMALL($MP$8:$MP$94,ROWS($IL$8:IL17))," ")</f>
        <v xml:space="preserve"> </v>
      </c>
      <c r="MR17" s="102">
        <f>IFERROR(ROWS($IL$8:IL17)," ")</f>
        <v>10</v>
      </c>
      <c r="MS17" s="103" t="str">
        <f>IFERROR(IF([1]Checklist!$C$13='GenInfo (2)'!E17,'GenInfo (2)'!MR17," ")," ")</f>
        <v xml:space="preserve"> </v>
      </c>
      <c r="MT17" s="104" t="str">
        <f>IFERROR(SMALL($MS$8:$MS$94,ROWS($IL$8:IL17))," ")</f>
        <v xml:space="preserve"> </v>
      </c>
      <c r="MU17" s="102">
        <f>IFERROR(ROWS($IL$8:IL17)," ")</f>
        <v>10</v>
      </c>
      <c r="MV17" s="103" t="str">
        <f>IFERROR(IF([1]Checklist!$C$14='GenInfo (2)'!E17,'GenInfo (2)'!MU17," ")," ")</f>
        <v xml:space="preserve"> </v>
      </c>
      <c r="MW17" s="104" t="str">
        <f>IFERROR(SMALL($MV$8:$MV$94,ROWS($IL$8:IL17))," ")</f>
        <v xml:space="preserve"> </v>
      </c>
      <c r="MX17" s="102">
        <f>IFERROR(ROWS($IL$8:IL17)," ")</f>
        <v>10</v>
      </c>
      <c r="MY17" s="103" t="str">
        <f>IFERROR(IF([1]Checklist!$C$15='GenInfo (2)'!E17,'GenInfo (2)'!MX17," ")," ")</f>
        <v xml:space="preserve"> </v>
      </c>
      <c r="MZ17" s="104" t="str">
        <f>IFERROR(SMALL($MY$8:$MY$94,ROWS($IL$8:IL17))," ")</f>
        <v xml:space="preserve"> </v>
      </c>
      <c r="NA17" s="102">
        <f>IFERROR(ROWS($IL$8:IL17)," ")</f>
        <v>10</v>
      </c>
      <c r="NB17" s="103" t="str">
        <f>IFERROR(IF([1]Checklist!$C$16='GenInfo (2)'!E17,'GenInfo (2)'!NA17," ")," ")</f>
        <v xml:space="preserve"> </v>
      </c>
      <c r="NC17" s="104" t="str">
        <f>IFERROR(SMALL($NB$8:$NB$94,ROWS($IL$8:IL17))," ")</f>
        <v xml:space="preserve"> </v>
      </c>
      <c r="ND17" s="102">
        <f>IFERROR(ROWS($IL$8:IL17)," ")</f>
        <v>10</v>
      </c>
      <c r="NE17" s="103" t="str">
        <f>IFERROR(IF([1]Checklist!$C$17='GenInfo (2)'!E17,'GenInfo (2)'!ND17," ")," ")</f>
        <v xml:space="preserve"> </v>
      </c>
      <c r="NF17" s="104" t="str">
        <f>IFERROR(SMALL($NE$8:$NE$94,ROWS($IL$8:IL17))," ")</f>
        <v xml:space="preserve"> </v>
      </c>
    </row>
    <row r="18" spans="1:370" ht="14.25" x14ac:dyDescent="0.45">
      <c r="A18" s="37" t="s">
        <v>213</v>
      </c>
      <c r="B18" s="37">
        <v>69</v>
      </c>
      <c r="C18" s="146" t="s">
        <v>352</v>
      </c>
      <c r="D18" t="s">
        <v>353</v>
      </c>
      <c r="E18" s="64" t="s">
        <v>340</v>
      </c>
      <c r="F18" s="63" t="s">
        <v>354</v>
      </c>
      <c r="G18" s="64" t="s">
        <v>218</v>
      </c>
      <c r="H18" s="63"/>
      <c r="I18" s="132" t="s">
        <v>355</v>
      </c>
      <c r="J18" s="63" t="s">
        <v>356</v>
      </c>
      <c r="K18" s="62"/>
      <c r="L18" s="67">
        <v>43845</v>
      </c>
      <c r="M18" s="67">
        <v>43846</v>
      </c>
      <c r="N18" s="67" t="s">
        <v>213</v>
      </c>
      <c r="O18" s="68">
        <v>43831</v>
      </c>
      <c r="P18" s="67">
        <v>43845</v>
      </c>
      <c r="Q18" s="67">
        <v>43876</v>
      </c>
      <c r="R18" s="63" t="s">
        <v>297</v>
      </c>
      <c r="S18" s="67"/>
      <c r="T18" s="63"/>
      <c r="U18" s="62"/>
      <c r="V18" s="67">
        <v>43864</v>
      </c>
      <c r="W18" s="63" t="s">
        <v>222</v>
      </c>
      <c r="X18" s="69"/>
      <c r="Y18" s="63"/>
      <c r="Z18" s="69"/>
      <c r="AA18" s="62"/>
      <c r="AB18" s="63" t="s">
        <v>357</v>
      </c>
      <c r="AC18" s="63" t="s">
        <v>358</v>
      </c>
      <c r="AD18" s="63"/>
      <c r="AE18" s="63" t="s">
        <v>263</v>
      </c>
      <c r="AF18" s="63"/>
      <c r="AG18" s="63"/>
      <c r="AH18" s="63"/>
      <c r="AI18" s="63"/>
      <c r="AJ18" s="63"/>
      <c r="AK18" s="62"/>
      <c r="AL18" s="71">
        <f t="shared" si="36"/>
        <v>17</v>
      </c>
      <c r="AM18" s="71">
        <f t="shared" ca="1" si="37"/>
        <v>19</v>
      </c>
      <c r="AN18" s="67">
        <v>37450</v>
      </c>
      <c r="AO18" s="72">
        <f t="shared" ca="1" si="38"/>
        <v>17</v>
      </c>
      <c r="AP18" s="63" t="s">
        <v>231</v>
      </c>
      <c r="AQ18" s="113" t="s">
        <v>264</v>
      </c>
      <c r="AR18" s="70" t="s">
        <v>233</v>
      </c>
      <c r="AS18" s="63">
        <v>3</v>
      </c>
      <c r="AT18" s="63">
        <v>90</v>
      </c>
      <c r="AU18" s="63">
        <v>11</v>
      </c>
      <c r="AV18" s="63">
        <v>4</v>
      </c>
      <c r="AW18" s="63">
        <v>2184</v>
      </c>
      <c r="AX18" s="63" t="s">
        <v>236</v>
      </c>
      <c r="AY18" s="63" t="s">
        <v>235</v>
      </c>
      <c r="AZ18" s="63" t="s">
        <v>235</v>
      </c>
      <c r="BA18" s="63" t="s">
        <v>235</v>
      </c>
      <c r="BB18" s="63"/>
      <c r="BC18" s="63"/>
      <c r="BD18" s="62"/>
      <c r="BE18" s="71">
        <f t="shared" si="39"/>
        <v>1</v>
      </c>
      <c r="BF18" s="71">
        <f t="shared" si="39"/>
        <v>1</v>
      </c>
      <c r="BG18" s="71">
        <f t="shared" si="40"/>
        <v>0</v>
      </c>
      <c r="BH18" s="74">
        <f t="shared" si="41"/>
        <v>0.89473684210526316</v>
      </c>
      <c r="BI18" s="75">
        <f t="shared" si="42"/>
        <v>0</v>
      </c>
      <c r="BJ18" s="71">
        <f t="shared" si="43"/>
        <v>0</v>
      </c>
      <c r="BK18" s="75">
        <f t="shared" si="44"/>
        <v>0</v>
      </c>
      <c r="BL18" s="76">
        <f t="shared" si="45"/>
        <v>0</v>
      </c>
      <c r="BM18" s="77">
        <f t="shared" si="45"/>
        <v>0</v>
      </c>
      <c r="BN18" s="78"/>
      <c r="BO18" s="67"/>
      <c r="BP18" s="67"/>
      <c r="BQ18" s="63"/>
      <c r="BR18" s="63"/>
      <c r="BS18" s="74" t="str">
        <f t="shared" si="49"/>
        <v xml:space="preserve"> </v>
      </c>
      <c r="BT18" s="79" t="s">
        <v>221</v>
      </c>
      <c r="BU18" s="79" t="s">
        <v>221</v>
      </c>
      <c r="BV18" s="80">
        <v>0</v>
      </c>
      <c r="BW18" s="81">
        <v>0</v>
      </c>
      <c r="BX18" s="82"/>
      <c r="BY18" s="83"/>
      <c r="BZ18" s="83"/>
      <c r="CA18" s="84"/>
      <c r="CB18" s="84"/>
      <c r="CC18" s="74" t="str">
        <f t="shared" si="50"/>
        <v xml:space="preserve"> </v>
      </c>
      <c r="CD18" s="79" t="s">
        <v>221</v>
      </c>
      <c r="CE18" s="81">
        <v>0</v>
      </c>
      <c r="CF18" s="85"/>
      <c r="CG18" s="85"/>
      <c r="CH18" s="85"/>
      <c r="CI18" s="78"/>
      <c r="CJ18" s="78"/>
      <c r="CK18" s="74" t="str">
        <f t="shared" si="51"/>
        <v xml:space="preserve"> </v>
      </c>
      <c r="CL18" s="79" t="s">
        <v>221</v>
      </c>
      <c r="CM18" s="79" t="s">
        <v>221</v>
      </c>
      <c r="CN18" s="86" t="s">
        <v>221</v>
      </c>
      <c r="CO18" s="81">
        <v>0</v>
      </c>
      <c r="CP18" s="87"/>
      <c r="CQ18" s="83"/>
      <c r="CR18" s="83"/>
      <c r="CS18" s="82"/>
      <c r="CT18" s="82"/>
      <c r="CU18" s="74" t="str">
        <f t="shared" si="52"/>
        <v xml:space="preserve"> </v>
      </c>
      <c r="CV18" s="79" t="s">
        <v>221</v>
      </c>
      <c r="CW18" s="79" t="s">
        <v>221</v>
      </c>
      <c r="CX18" s="88" t="s">
        <v>221</v>
      </c>
      <c r="CY18" s="81">
        <v>0</v>
      </c>
      <c r="CZ18" s="89"/>
      <c r="DA18" s="67"/>
      <c r="DB18" s="67"/>
      <c r="DC18" s="78"/>
      <c r="DD18" s="78"/>
      <c r="DE18" s="74" t="str">
        <f t="shared" si="53"/>
        <v xml:space="preserve"> </v>
      </c>
      <c r="DF18" s="79" t="s">
        <v>221</v>
      </c>
      <c r="DG18" s="79" t="s">
        <v>221</v>
      </c>
      <c r="DH18" s="79" t="s">
        <v>221</v>
      </c>
      <c r="DI18" s="81">
        <v>0</v>
      </c>
      <c r="DJ18" s="87"/>
      <c r="DK18" s="83"/>
      <c r="DL18" s="83"/>
      <c r="DM18" s="82"/>
      <c r="DN18" s="82"/>
      <c r="DO18" s="74" t="str">
        <f t="shared" si="54"/>
        <v xml:space="preserve"> </v>
      </c>
      <c r="DP18" s="79" t="s">
        <v>221</v>
      </c>
      <c r="DQ18" s="79" t="s">
        <v>221</v>
      </c>
      <c r="DR18" s="79" t="s">
        <v>221</v>
      </c>
      <c r="DS18" s="81">
        <v>0</v>
      </c>
      <c r="DT18" s="89"/>
      <c r="DU18" s="67"/>
      <c r="DV18" s="67"/>
      <c r="DW18" s="78"/>
      <c r="DX18" s="78"/>
      <c r="DY18" s="74" t="str">
        <f t="shared" si="55"/>
        <v xml:space="preserve"> </v>
      </c>
      <c r="DZ18" s="90">
        <v>0</v>
      </c>
      <c r="EA18" s="90">
        <v>0</v>
      </c>
      <c r="EB18" s="90">
        <v>0</v>
      </c>
      <c r="EC18" s="91">
        <v>0</v>
      </c>
      <c r="ED18" s="87"/>
      <c r="EE18" s="83"/>
      <c r="EF18" s="83"/>
      <c r="EG18" s="82">
        <v>19</v>
      </c>
      <c r="EH18" s="82">
        <v>17</v>
      </c>
      <c r="EI18" s="74">
        <f t="shared" si="46"/>
        <v>0.89473684210526316</v>
      </c>
      <c r="EJ18" s="92">
        <v>0</v>
      </c>
      <c r="EK18" s="92">
        <v>0</v>
      </c>
      <c r="EL18" s="92">
        <v>0</v>
      </c>
      <c r="EM18" s="93">
        <v>0</v>
      </c>
      <c r="EN18" s="89"/>
      <c r="EO18" s="67"/>
      <c r="EP18" s="67"/>
      <c r="EQ18" s="78">
        <v>11</v>
      </c>
      <c r="ER18" s="78">
        <v>5</v>
      </c>
      <c r="ES18" s="74">
        <f t="shared" si="47"/>
        <v>0.45454545454545453</v>
      </c>
      <c r="ET18" s="94">
        <v>12</v>
      </c>
      <c r="EU18" s="94"/>
      <c r="EV18" s="94">
        <v>12</v>
      </c>
      <c r="EW18" s="95">
        <v>142</v>
      </c>
      <c r="EX18" s="87"/>
      <c r="EY18" s="83"/>
      <c r="EZ18" s="83"/>
      <c r="FA18" s="82"/>
      <c r="FB18" s="82"/>
      <c r="FC18" s="74" t="str">
        <f t="shared" si="56"/>
        <v xml:space="preserve"> </v>
      </c>
      <c r="FD18" s="92"/>
      <c r="FE18" s="92"/>
      <c r="FF18" s="92"/>
      <c r="FG18" s="92"/>
      <c r="FH18" s="76">
        <f t="shared" si="57"/>
        <v>0</v>
      </c>
      <c r="FI18" s="89"/>
      <c r="FJ18" s="67"/>
      <c r="FK18" s="67"/>
      <c r="FL18" s="78"/>
      <c r="FM18" s="78"/>
      <c r="FN18" s="74" t="str">
        <f t="shared" si="58"/>
        <v xml:space="preserve"> </v>
      </c>
      <c r="FO18" s="94"/>
      <c r="FP18" s="94"/>
      <c r="FQ18" s="94"/>
      <c r="FR18" s="94"/>
      <c r="FS18" s="76">
        <f t="shared" si="59"/>
        <v>0</v>
      </c>
      <c r="FT18" s="87"/>
      <c r="FU18" s="83"/>
      <c r="FV18" s="83"/>
      <c r="FW18" s="82"/>
      <c r="FX18" s="82"/>
      <c r="FY18" s="74" t="str">
        <f t="shared" si="60"/>
        <v xml:space="preserve"> </v>
      </c>
      <c r="FZ18" s="92"/>
      <c r="GA18" s="92"/>
      <c r="GB18" s="92"/>
      <c r="GC18" s="92"/>
      <c r="GD18" s="76">
        <f t="shared" si="61"/>
        <v>0</v>
      </c>
      <c r="GE18" s="62"/>
      <c r="GF18" s="96" t="s">
        <v>221</v>
      </c>
      <c r="GG18" s="96" t="s">
        <v>221</v>
      </c>
      <c r="GH18" s="63"/>
      <c r="GI18" s="63" t="s">
        <v>221</v>
      </c>
      <c r="GJ18" s="63" t="s">
        <v>221</v>
      </c>
      <c r="GK18" s="97">
        <f t="shared" si="24"/>
        <v>0</v>
      </c>
      <c r="GL18" s="63" t="s">
        <v>221</v>
      </c>
      <c r="GM18" s="98"/>
      <c r="GN18" s="97">
        <f t="shared" si="72"/>
        <v>0</v>
      </c>
      <c r="GO18" s="97" t="str">
        <f t="shared" si="63"/>
        <v xml:space="preserve"> </v>
      </c>
      <c r="GP18" s="62"/>
      <c r="GQ18" s="63" t="s">
        <v>213</v>
      </c>
      <c r="GR18" s="63" t="s">
        <v>213</v>
      </c>
      <c r="GS18" s="63" t="s">
        <v>213</v>
      </c>
      <c r="GT18" s="63" t="s">
        <v>213</v>
      </c>
      <c r="GU18" s="63" t="s">
        <v>213</v>
      </c>
      <c r="GV18" s="63" t="s">
        <v>213</v>
      </c>
      <c r="GW18" s="63" t="s">
        <v>213</v>
      </c>
      <c r="GX18" s="63"/>
      <c r="GY18" s="65" t="s">
        <v>237</v>
      </c>
      <c r="GZ18" s="65" t="s">
        <v>237</v>
      </c>
      <c r="HA18" s="63" t="s">
        <v>237</v>
      </c>
      <c r="HB18" s="63" t="s">
        <v>237</v>
      </c>
      <c r="HC18" s="63"/>
      <c r="HD18" s="63"/>
      <c r="HE18" s="63"/>
      <c r="HF18" s="63"/>
      <c r="HG18" s="63" t="s">
        <v>237</v>
      </c>
      <c r="HH18" s="63"/>
      <c r="HI18" s="63"/>
      <c r="HJ18" s="63"/>
      <c r="HK18" s="63"/>
      <c r="HL18" s="65" t="str">
        <f>IFERROR(IF(OR(IQ18&gt;0,IR18&gt;0,IS18&gt;0),"x",""),"")</f>
        <v/>
      </c>
      <c r="HM18" s="65" t="str">
        <f t="shared" si="66"/>
        <v/>
      </c>
      <c r="HN18" s="65" t="s">
        <v>239</v>
      </c>
      <c r="HO18" s="65" t="str">
        <f>IFERROR(IF(OR(JE18&gt;0,JF18&gt;0,JG18&gt;0,JH18&gt;0),"x",""),"")</f>
        <v/>
      </c>
      <c r="HP18" s="99" t="str">
        <f t="shared" si="67"/>
        <v/>
      </c>
      <c r="HQ18" s="99" t="s">
        <v>239</v>
      </c>
      <c r="HR18" s="63"/>
      <c r="HS18" s="63"/>
      <c r="HT18" s="63"/>
      <c r="HU18" s="63" t="s">
        <v>237</v>
      </c>
      <c r="HV18" s="63"/>
      <c r="HW18" s="63"/>
      <c r="HX18" s="63"/>
      <c r="HY18" s="63"/>
      <c r="HZ18" s="63"/>
      <c r="IA18" s="63"/>
      <c r="IB18" s="63"/>
      <c r="IC18" s="63" t="s">
        <v>237</v>
      </c>
      <c r="ID18" s="96"/>
      <c r="IE18" s="100" t="s">
        <v>213</v>
      </c>
      <c r="IF18" s="100" t="s">
        <v>213</v>
      </c>
      <c r="IG18" s="100" t="s">
        <v>213</v>
      </c>
      <c r="IH18" s="100" t="s">
        <v>213</v>
      </c>
      <c r="II18" s="100" t="s">
        <v>213</v>
      </c>
      <c r="IJ18" s="100" t="s">
        <v>213</v>
      </c>
      <c r="IK18" s="100" t="s">
        <v>213</v>
      </c>
      <c r="IL18" s="63"/>
      <c r="IM18" s="62"/>
      <c r="IN18" s="101"/>
      <c r="IO18" s="101"/>
      <c r="IP18" s="63"/>
      <c r="IQ18" s="63"/>
      <c r="IR18" s="63"/>
      <c r="IS18" s="63"/>
      <c r="IT18" s="63"/>
      <c r="IU18" s="63"/>
      <c r="IV18" s="63"/>
      <c r="IW18" s="63"/>
      <c r="IX18" s="63"/>
      <c r="IY18" s="63"/>
      <c r="IZ18" s="63"/>
      <c r="JA18" s="65">
        <f t="shared" si="48"/>
        <v>0</v>
      </c>
      <c r="JB18" s="63"/>
      <c r="JC18" s="101"/>
      <c r="JD18" s="101"/>
      <c r="JE18" s="63"/>
      <c r="JF18" s="63"/>
      <c r="JG18" s="63"/>
      <c r="JH18" s="63"/>
      <c r="JI18" s="63"/>
      <c r="JJ18" s="63"/>
      <c r="JK18" s="63"/>
      <c r="JL18" s="63"/>
      <c r="JM18" s="63"/>
      <c r="JN18" s="96"/>
      <c r="JO18" s="63"/>
      <c r="JP18" s="65">
        <f t="shared" si="29"/>
        <v>0</v>
      </c>
      <c r="JQ18" s="63"/>
      <c r="LM18" s="205"/>
      <c r="LN18" s="102">
        <f>IFERROR(ROWS($IL$8:IL18)," ")</f>
        <v>11</v>
      </c>
      <c r="LO18" s="103" t="str">
        <f>IFERROR(IF([1]Checklist!$C$3='GenInfo (2)'!E18,'GenInfo (2)'!LN18," ")," ")</f>
        <v xml:space="preserve"> </v>
      </c>
      <c r="LP18" s="104" t="str">
        <f>IFERROR(SMALL($LO$8:$LO$94,ROWS($IL$8:IL18))," ")</f>
        <v xml:space="preserve"> </v>
      </c>
      <c r="LQ18" s="102">
        <f>IFERROR(ROWS($IL$8:IL18)," ")</f>
        <v>11</v>
      </c>
      <c r="LR18" s="103" t="str">
        <f>IFERROR(IF([1]Checklist!$C$4='GenInfo (2)'!E18,'GenInfo (2)'!LQ18," ")," ")</f>
        <v xml:space="preserve"> </v>
      </c>
      <c r="LS18" s="104" t="str">
        <f>IFERROR(SMALL($LR$8:$LR$94,ROWS($IL$8:IL18))," ")</f>
        <v xml:space="preserve"> </v>
      </c>
      <c r="LT18" s="102">
        <f>IFERROR(ROWS($IL$8:IL18)," ")</f>
        <v>11</v>
      </c>
      <c r="LU18" s="103" t="str">
        <f>IFERROR(IF([1]Checklist!$C$5='GenInfo (2)'!E18,'GenInfo (2)'!LT18," ")," ")</f>
        <v xml:space="preserve"> </v>
      </c>
      <c r="LV18" s="104" t="str">
        <f>IFERROR(SMALL($LU$8:$LU$94,ROWS($IL$8:IL18))," ")</f>
        <v xml:space="preserve"> </v>
      </c>
      <c r="LW18" s="102">
        <f>IFERROR(ROWS($IL$8:IL18)," ")</f>
        <v>11</v>
      </c>
      <c r="LX18" s="103">
        <f>IFERROR(IF([1]Checklist!$C$6='GenInfo (2)'!E18,'GenInfo (2)'!LW18," ")," ")</f>
        <v>11</v>
      </c>
      <c r="LY18" s="104" t="str">
        <f>IFERROR(SMALL($LX$8:$LX$94,ROWS($IL$8:IL18))," ")</f>
        <v xml:space="preserve"> </v>
      </c>
      <c r="LZ18" s="102">
        <f>IFERROR(ROWS($IL$8:IL18)," ")</f>
        <v>11</v>
      </c>
      <c r="MA18" s="103" t="str">
        <f>IFERROR(IF([1]Checklist!$C$7='GenInfo (2)'!E18,'GenInfo (2)'!LZ18," ")," ")</f>
        <v xml:space="preserve"> </v>
      </c>
      <c r="MB18" s="104" t="str">
        <f>IFERROR(SMALL($MA$8:$MA$94,ROWS($IL$8:IL18))," ")</f>
        <v xml:space="preserve"> </v>
      </c>
      <c r="MC18" s="102">
        <f>IFERROR(ROWS($IL$8:IL18)," ")</f>
        <v>11</v>
      </c>
      <c r="MD18" s="103" t="str">
        <f>IFERROR(IF([1]Checklist!$C$8='GenInfo (2)'!E18,'GenInfo (2)'!MC18," ")," ")</f>
        <v xml:space="preserve"> </v>
      </c>
      <c r="ME18" s="104" t="str">
        <f>IFERROR(SMALL($MD$8:$MD$94,ROWS($IL$8:IL18))," ")</f>
        <v xml:space="preserve"> </v>
      </c>
      <c r="MF18" s="102">
        <f>IFERROR(ROWS($IL$8:IL18)," ")</f>
        <v>11</v>
      </c>
      <c r="MG18" s="103" t="str">
        <f>IFERROR(IF([1]Checklist!$C$9='GenInfo (2)'!E18,'GenInfo (2)'!MF18," ")," ")</f>
        <v xml:space="preserve"> </v>
      </c>
      <c r="MH18" s="104" t="str">
        <f>IFERROR(SMALL($MG$8:$MG$94,ROWS($IL$8:IL18))," ")</f>
        <v xml:space="preserve"> </v>
      </c>
      <c r="MI18" s="102">
        <f>IFERROR(ROWS($IL$8:$IL18)," ")</f>
        <v>11</v>
      </c>
      <c r="MJ18" s="103" t="str">
        <f>IFERROR(IF([1]Checklist!$C$10='GenInfo (2)'!E18,'GenInfo (2)'!MI18," ")," ")</f>
        <v xml:space="preserve"> </v>
      </c>
      <c r="MK18" s="104" t="str">
        <f>IFERROR(SMALL($MJ$8:$MJ$94,ROWS($IL$8:IL18))," ")</f>
        <v xml:space="preserve"> </v>
      </c>
      <c r="ML18" s="102">
        <f>IFERROR(ROWS($IL$8:IL18)," ")</f>
        <v>11</v>
      </c>
      <c r="MM18" s="103" t="str">
        <f>IFERROR(IF([1]Checklist!$C$11='GenInfo (2)'!E18,'GenInfo (2)'!ML18," ")," ")</f>
        <v xml:space="preserve"> </v>
      </c>
      <c r="MN18" s="104" t="str">
        <f>IFERROR(SMALL($MM$8:$MM$94,ROWS($IL$8:IL18))," ")</f>
        <v xml:space="preserve"> </v>
      </c>
      <c r="MO18" s="102">
        <f>IFERROR(ROWS($IL$8:IL18)," ")</f>
        <v>11</v>
      </c>
      <c r="MP18" s="103" t="str">
        <f>IFERROR(IF([1]Checklist!$C$12='GenInfo (2)'!E18,'GenInfo (2)'!MO18," ")," ")</f>
        <v xml:space="preserve"> </v>
      </c>
      <c r="MQ18" s="104" t="str">
        <f>IFERROR(SMALL($MP$8:$MP$94,ROWS($IL$8:IL18))," ")</f>
        <v xml:space="preserve"> </v>
      </c>
      <c r="MR18" s="102">
        <f>IFERROR(ROWS($IL$8:IL18)," ")</f>
        <v>11</v>
      </c>
      <c r="MS18" s="103" t="str">
        <f>IFERROR(IF([1]Checklist!$C$13='GenInfo (2)'!E18,'GenInfo (2)'!MR18," ")," ")</f>
        <v xml:space="preserve"> </v>
      </c>
      <c r="MT18" s="104" t="str">
        <f>IFERROR(SMALL($MS$8:$MS$94,ROWS($IL$8:IL18))," ")</f>
        <v xml:space="preserve"> </v>
      </c>
      <c r="MU18" s="102">
        <f>IFERROR(ROWS($IL$8:IL18)," ")</f>
        <v>11</v>
      </c>
      <c r="MV18" s="103" t="str">
        <f>IFERROR(IF([1]Checklist!$C$14='GenInfo (2)'!E18,'GenInfo (2)'!MU18," ")," ")</f>
        <v xml:space="preserve"> </v>
      </c>
      <c r="MW18" s="104" t="str">
        <f>IFERROR(SMALL($MV$8:$MV$94,ROWS($IL$8:IL18))," ")</f>
        <v xml:space="preserve"> </v>
      </c>
      <c r="MX18" s="102">
        <f>IFERROR(ROWS($IL$8:IL18)," ")</f>
        <v>11</v>
      </c>
      <c r="MY18" s="103" t="str">
        <f>IFERROR(IF([1]Checklist!$C$15='GenInfo (2)'!E18,'GenInfo (2)'!MX18," ")," ")</f>
        <v xml:space="preserve"> </v>
      </c>
      <c r="MZ18" s="104" t="str">
        <f>IFERROR(SMALL($MY$8:$MY$94,ROWS($IL$8:IL18))," ")</f>
        <v xml:space="preserve"> </v>
      </c>
      <c r="NA18" s="102">
        <f>IFERROR(ROWS($IL$8:IL18)," ")</f>
        <v>11</v>
      </c>
      <c r="NB18" s="103" t="str">
        <f>IFERROR(IF([1]Checklist!$C$16='GenInfo (2)'!E18,'GenInfo (2)'!NA18," ")," ")</f>
        <v xml:space="preserve"> </v>
      </c>
      <c r="NC18" s="104" t="str">
        <f>IFERROR(SMALL($NB$8:$NB$94,ROWS($IL$8:IL18))," ")</f>
        <v xml:space="preserve"> </v>
      </c>
      <c r="ND18" s="102">
        <f>IFERROR(ROWS($IL$8:IL18)," ")</f>
        <v>11</v>
      </c>
      <c r="NE18" s="103" t="str">
        <f>IFERROR(IF([1]Checklist!$C$17='GenInfo (2)'!E18,'GenInfo (2)'!ND18," ")," ")</f>
        <v xml:space="preserve"> </v>
      </c>
      <c r="NF18" s="104" t="str">
        <f>IFERROR(SMALL($NE$8:$NE$94,ROWS($IL$8:IL18))," ")</f>
        <v xml:space="preserve"> </v>
      </c>
    </row>
    <row r="19" spans="1:370" ht="14.25" x14ac:dyDescent="0.45">
      <c r="A19" s="37" t="s">
        <v>213</v>
      </c>
      <c r="B19" s="37">
        <v>74</v>
      </c>
      <c r="C19" s="146" t="s">
        <v>359</v>
      </c>
      <c r="D19" t="s">
        <v>360</v>
      </c>
      <c r="E19" s="106" t="s">
        <v>340</v>
      </c>
      <c r="F19" s="106" t="s">
        <v>361</v>
      </c>
      <c r="G19" s="107" t="s">
        <v>218</v>
      </c>
      <c r="H19" s="96"/>
      <c r="I19" s="132" t="s">
        <v>362</v>
      </c>
      <c r="J19" s="96" t="s">
        <v>363</v>
      </c>
      <c r="K19" s="111"/>
      <c r="L19" s="108" t="s">
        <v>221</v>
      </c>
      <c r="M19" s="108" t="s">
        <v>221</v>
      </c>
      <c r="N19" s="108"/>
      <c r="O19" s="109" t="s">
        <v>221</v>
      </c>
      <c r="P19" s="108"/>
      <c r="Q19" s="108"/>
      <c r="R19" s="96"/>
      <c r="S19" s="108"/>
      <c r="T19" s="96"/>
      <c r="U19" s="111"/>
      <c r="V19" s="108">
        <v>43539</v>
      </c>
      <c r="W19" s="108" t="s">
        <v>222</v>
      </c>
      <c r="X19" s="110"/>
      <c r="Y19" s="108"/>
      <c r="Z19" s="110"/>
      <c r="AA19" s="111"/>
      <c r="AB19" s="96" t="s">
        <v>364</v>
      </c>
      <c r="AC19" s="96" t="s">
        <v>365</v>
      </c>
      <c r="AD19" s="96" t="s">
        <v>366</v>
      </c>
      <c r="AE19" s="96" t="s">
        <v>367</v>
      </c>
      <c r="AF19" s="96" t="s">
        <v>368</v>
      </c>
      <c r="AG19" s="96"/>
      <c r="AH19" s="96" t="s">
        <v>251</v>
      </c>
      <c r="AI19" s="96" t="s">
        <v>230</v>
      </c>
      <c r="AJ19" s="96">
        <v>60649</v>
      </c>
      <c r="AK19" s="111"/>
      <c r="AL19" s="71">
        <f t="shared" si="36"/>
        <v>17</v>
      </c>
      <c r="AM19" s="71">
        <f t="shared" ca="1" si="37"/>
        <v>20</v>
      </c>
      <c r="AN19" s="110">
        <v>37006</v>
      </c>
      <c r="AO19" s="72">
        <f t="shared" ca="1" si="38"/>
        <v>2</v>
      </c>
      <c r="AP19" s="145" t="s">
        <v>231</v>
      </c>
      <c r="AQ19" s="113" t="s">
        <v>264</v>
      </c>
      <c r="AR19" s="107" t="s">
        <v>276</v>
      </c>
      <c r="AS19" s="96">
        <v>4</v>
      </c>
      <c r="AT19" s="96">
        <v>90</v>
      </c>
      <c r="AU19" s="96">
        <v>14</v>
      </c>
      <c r="AV19" s="96">
        <v>3</v>
      </c>
      <c r="AW19" s="96">
        <v>21</v>
      </c>
      <c r="AX19" s="96" t="s">
        <v>351</v>
      </c>
      <c r="AY19" s="96" t="s">
        <v>235</v>
      </c>
      <c r="AZ19" s="96" t="s">
        <v>235</v>
      </c>
      <c r="BA19" s="96" t="s">
        <v>235</v>
      </c>
      <c r="BB19" s="96"/>
      <c r="BC19" s="114"/>
      <c r="BD19" s="112"/>
      <c r="BE19" s="71">
        <f t="shared" si="39"/>
        <v>6</v>
      </c>
      <c r="BF19" s="71">
        <f t="shared" si="39"/>
        <v>6</v>
      </c>
      <c r="BG19" s="71">
        <f t="shared" si="40"/>
        <v>0</v>
      </c>
      <c r="BH19" s="74">
        <f t="shared" si="41"/>
        <v>0.81288244766505635</v>
      </c>
      <c r="BI19" s="75">
        <f t="shared" si="42"/>
        <v>0</v>
      </c>
      <c r="BJ19" s="71">
        <f t="shared" si="43"/>
        <v>4</v>
      </c>
      <c r="BK19" s="75">
        <f t="shared" si="44"/>
        <v>0.66666666666666663</v>
      </c>
      <c r="BL19" s="76">
        <f t="shared" si="45"/>
        <v>134</v>
      </c>
      <c r="BM19" s="77">
        <f t="shared" si="45"/>
        <v>1719</v>
      </c>
      <c r="BN19" s="114"/>
      <c r="BO19" s="110"/>
      <c r="BP19" s="110"/>
      <c r="BQ19" s="115">
        <v>23</v>
      </c>
      <c r="BR19" s="115">
        <v>10</v>
      </c>
      <c r="BS19" s="74">
        <f t="shared" si="49"/>
        <v>0.43478260869565216</v>
      </c>
      <c r="BT19" s="79">
        <v>27</v>
      </c>
      <c r="BU19" s="79">
        <v>15</v>
      </c>
      <c r="BV19" s="80">
        <v>42</v>
      </c>
      <c r="BW19" s="81">
        <v>546</v>
      </c>
      <c r="BX19" s="116"/>
      <c r="BY19" s="117"/>
      <c r="BZ19" s="117"/>
      <c r="CA19" s="128"/>
      <c r="CB19" s="128">
        <v>2</v>
      </c>
      <c r="CC19" s="74" t="str">
        <f t="shared" si="50"/>
        <v xml:space="preserve"> </v>
      </c>
      <c r="CD19" s="79">
        <v>21</v>
      </c>
      <c r="CE19" s="81">
        <v>273</v>
      </c>
      <c r="CF19" s="119"/>
      <c r="CG19" s="119"/>
      <c r="CH19" s="119"/>
      <c r="CI19" s="114">
        <v>18</v>
      </c>
      <c r="CJ19" s="114">
        <v>13</v>
      </c>
      <c r="CK19" s="74">
        <f t="shared" si="51"/>
        <v>0.72222222222222221</v>
      </c>
      <c r="CL19" s="79">
        <v>0</v>
      </c>
      <c r="CM19" s="79">
        <v>0</v>
      </c>
      <c r="CN19" s="86">
        <v>0</v>
      </c>
      <c r="CO19" s="81">
        <v>0</v>
      </c>
      <c r="CP19" s="120"/>
      <c r="CQ19" s="121"/>
      <c r="CR19" s="121"/>
      <c r="CS19" s="116">
        <v>23</v>
      </c>
      <c r="CT19" s="116">
        <v>12</v>
      </c>
      <c r="CU19" s="74">
        <f t="shared" si="52"/>
        <v>0.52173913043478259</v>
      </c>
      <c r="CV19" s="79">
        <v>12</v>
      </c>
      <c r="CW19" s="79">
        <v>0</v>
      </c>
      <c r="CX19" s="88">
        <v>12</v>
      </c>
      <c r="CY19" s="81">
        <v>156</v>
      </c>
      <c r="CZ19" s="122"/>
      <c r="DA19" s="108"/>
      <c r="DB19" s="108"/>
      <c r="DC19" s="114">
        <v>18</v>
      </c>
      <c r="DD19" s="114">
        <v>15</v>
      </c>
      <c r="DE19" s="74">
        <f t="shared" si="53"/>
        <v>0.83333333333333337</v>
      </c>
      <c r="DF19" s="79">
        <v>12</v>
      </c>
      <c r="DG19" s="79">
        <v>0</v>
      </c>
      <c r="DH19" s="79">
        <v>12</v>
      </c>
      <c r="DI19" s="81">
        <v>156</v>
      </c>
      <c r="DJ19" s="120"/>
      <c r="DK19" s="121"/>
      <c r="DL19" s="121"/>
      <c r="DM19" s="116">
        <v>15</v>
      </c>
      <c r="DN19" s="116">
        <v>12</v>
      </c>
      <c r="DO19" s="74">
        <f t="shared" si="54"/>
        <v>0.8</v>
      </c>
      <c r="DP19" s="79">
        <v>15</v>
      </c>
      <c r="DQ19" s="79">
        <v>6</v>
      </c>
      <c r="DR19" s="79">
        <v>21</v>
      </c>
      <c r="DS19" s="81">
        <v>252</v>
      </c>
      <c r="DT19" s="122"/>
      <c r="DU19" s="108"/>
      <c r="DV19" s="108"/>
      <c r="DW19" s="114">
        <v>19</v>
      </c>
      <c r="DX19" s="114">
        <v>19</v>
      </c>
      <c r="DY19" s="74">
        <f t="shared" si="55"/>
        <v>1</v>
      </c>
      <c r="DZ19" s="90">
        <v>12</v>
      </c>
      <c r="EA19" s="90">
        <v>12</v>
      </c>
      <c r="EB19" s="90">
        <v>24</v>
      </c>
      <c r="EC19" s="91">
        <v>312</v>
      </c>
      <c r="ED19" s="120"/>
      <c r="EE19" s="121"/>
      <c r="EF19" s="121"/>
      <c r="EG19" s="116">
        <v>19</v>
      </c>
      <c r="EH19" s="116">
        <v>19</v>
      </c>
      <c r="EI19" s="74">
        <f t="shared" si="46"/>
        <v>1</v>
      </c>
      <c r="EJ19" s="92">
        <v>0</v>
      </c>
      <c r="EK19" s="92">
        <v>14</v>
      </c>
      <c r="EL19" s="92">
        <v>14</v>
      </c>
      <c r="EM19" s="93">
        <v>168</v>
      </c>
      <c r="EN19" s="122"/>
      <c r="EO19" s="108"/>
      <c r="EP19" s="108"/>
      <c r="EQ19" s="114">
        <v>11</v>
      </c>
      <c r="ER19" s="114">
        <v>10</v>
      </c>
      <c r="ES19" s="74">
        <f t="shared" si="47"/>
        <v>0.90909090909090906</v>
      </c>
      <c r="ET19" s="94">
        <v>14</v>
      </c>
      <c r="EU19" s="90"/>
      <c r="EV19" s="94">
        <v>14</v>
      </c>
      <c r="EW19" s="95">
        <v>168</v>
      </c>
      <c r="EX19" s="120"/>
      <c r="EY19" s="121"/>
      <c r="EZ19" s="121"/>
      <c r="FA19" s="116"/>
      <c r="FB19" s="116"/>
      <c r="FC19" s="74" t="str">
        <f t="shared" si="56"/>
        <v xml:space="preserve"> </v>
      </c>
      <c r="FD19" s="123"/>
      <c r="FE19" s="123"/>
      <c r="FF19" s="123"/>
      <c r="FG19" s="123"/>
      <c r="FH19" s="76">
        <f t="shared" si="57"/>
        <v>0</v>
      </c>
      <c r="FI19" s="122"/>
      <c r="FJ19" s="108"/>
      <c r="FK19" s="108"/>
      <c r="FL19" s="114"/>
      <c r="FM19" s="114"/>
      <c r="FN19" s="74" t="str">
        <f t="shared" si="58"/>
        <v xml:space="preserve"> </v>
      </c>
      <c r="FO19" s="90"/>
      <c r="FP19" s="90"/>
      <c r="FQ19" s="90"/>
      <c r="FR19" s="90"/>
      <c r="FS19" s="76">
        <f t="shared" si="59"/>
        <v>0</v>
      </c>
      <c r="FT19" s="120"/>
      <c r="FU19" s="121"/>
      <c r="FV19" s="121"/>
      <c r="FW19" s="116"/>
      <c r="FX19" s="116"/>
      <c r="FY19" s="74" t="str">
        <f t="shared" si="60"/>
        <v xml:space="preserve"> </v>
      </c>
      <c r="FZ19" s="123"/>
      <c r="GA19" s="123"/>
      <c r="GB19" s="123"/>
      <c r="GC19" s="123"/>
      <c r="GD19" s="76">
        <f t="shared" si="61"/>
        <v>0</v>
      </c>
      <c r="GE19" s="129"/>
      <c r="GF19" s="96">
        <v>13</v>
      </c>
      <c r="GG19" s="96" t="s">
        <v>236</v>
      </c>
      <c r="GH19" s="79"/>
      <c r="GI19" s="63"/>
      <c r="GJ19" s="63"/>
      <c r="GK19" s="97">
        <f t="shared" si="24"/>
        <v>0</v>
      </c>
      <c r="GL19" s="63">
        <v>0</v>
      </c>
      <c r="GM19" s="79"/>
      <c r="GN19" s="97">
        <f t="shared" si="72"/>
        <v>0</v>
      </c>
      <c r="GO19" s="97">
        <f t="shared" si="63"/>
        <v>13</v>
      </c>
      <c r="GP19" s="130"/>
      <c r="GQ19" s="96" t="s">
        <v>213</v>
      </c>
      <c r="GR19" s="96" t="s">
        <v>213</v>
      </c>
      <c r="GS19" s="96" t="s">
        <v>213</v>
      </c>
      <c r="GT19" s="96" t="s">
        <v>213</v>
      </c>
      <c r="GU19" s="96" t="s">
        <v>213</v>
      </c>
      <c r="GV19" s="96" t="s">
        <v>213</v>
      </c>
      <c r="GW19" s="96" t="s">
        <v>213</v>
      </c>
      <c r="GX19" s="96" t="s">
        <v>238</v>
      </c>
      <c r="GY19" s="65" t="str">
        <f>IFERROR(IF(IN19&gt;0,"X",""),"")</f>
        <v>X</v>
      </c>
      <c r="GZ19" s="65" t="str">
        <f>IFERROR(IF(JC19&gt;0,"X",""),"")</f>
        <v>X</v>
      </c>
      <c r="HA19" s="100" t="s">
        <v>213</v>
      </c>
      <c r="HB19" s="100" t="s">
        <v>237</v>
      </c>
      <c r="HC19" s="100"/>
      <c r="HD19" s="100"/>
      <c r="HE19" s="100"/>
      <c r="HF19" s="100"/>
      <c r="HG19" s="100" t="s">
        <v>213</v>
      </c>
      <c r="HH19" s="100">
        <v>0</v>
      </c>
      <c r="HI19" s="100">
        <v>0</v>
      </c>
      <c r="HJ19" s="100">
        <v>0</v>
      </c>
      <c r="HK19" s="100">
        <v>0</v>
      </c>
      <c r="HL19" s="65" t="s">
        <v>237</v>
      </c>
      <c r="HM19" s="65" t="str">
        <f t="shared" si="66"/>
        <v>x</v>
      </c>
      <c r="HN19" s="65" t="s">
        <v>239</v>
      </c>
      <c r="HO19" s="65" t="s">
        <v>237</v>
      </c>
      <c r="HP19" s="65" t="str">
        <f>IFERROR(IF(OR(JI19&gt;0,JJ19&gt;0,JK19&gt;0),"x",""),"")</f>
        <v>x</v>
      </c>
      <c r="HQ19" s="99" t="s">
        <v>239</v>
      </c>
      <c r="HR19" s="96"/>
      <c r="HS19" s="96" t="s">
        <v>213</v>
      </c>
      <c r="HT19" s="96"/>
      <c r="HU19" s="96" t="s">
        <v>237</v>
      </c>
      <c r="HV19" s="96"/>
      <c r="HW19" s="96"/>
      <c r="HX19" s="96"/>
      <c r="HY19" s="96"/>
      <c r="HZ19" s="96" t="s">
        <v>213</v>
      </c>
      <c r="IA19" s="63" t="s">
        <v>237</v>
      </c>
      <c r="IB19" s="96"/>
      <c r="IC19" s="96" t="s">
        <v>213</v>
      </c>
      <c r="ID19" s="63" t="s">
        <v>240</v>
      </c>
      <c r="IE19" s="100" t="s">
        <v>213</v>
      </c>
      <c r="IF19" s="100" t="s">
        <v>213</v>
      </c>
      <c r="IG19" s="100" t="s">
        <v>213</v>
      </c>
      <c r="IH19" s="100" t="s">
        <v>213</v>
      </c>
      <c r="II19" s="100" t="s">
        <v>213</v>
      </c>
      <c r="IJ19" s="100" t="s">
        <v>213</v>
      </c>
      <c r="IK19" s="100" t="s">
        <v>213</v>
      </c>
      <c r="IL19" s="100"/>
      <c r="IM19" s="111"/>
      <c r="IN19" s="125">
        <v>7</v>
      </c>
      <c r="IO19" s="125"/>
      <c r="IP19" s="96"/>
      <c r="IQ19" s="96"/>
      <c r="IR19" s="96"/>
      <c r="IS19" s="96"/>
      <c r="IT19" s="96"/>
      <c r="IU19" s="96">
        <v>5.3</v>
      </c>
      <c r="IV19" s="96"/>
      <c r="IW19" s="96"/>
      <c r="IX19" s="96"/>
      <c r="IY19" s="96"/>
      <c r="IZ19" s="96"/>
      <c r="JA19" s="65">
        <f t="shared" si="48"/>
        <v>1</v>
      </c>
      <c r="JB19" s="96"/>
      <c r="JC19" s="125">
        <v>5</v>
      </c>
      <c r="JD19" s="125"/>
      <c r="JE19" s="96"/>
      <c r="JF19" s="96"/>
      <c r="JG19" s="96"/>
      <c r="JH19" s="96"/>
      <c r="JI19" s="96"/>
      <c r="JJ19" s="96">
        <v>4.4000000000000004</v>
      </c>
      <c r="JK19" s="96"/>
      <c r="JL19" s="96"/>
      <c r="JM19" s="96"/>
      <c r="JN19" s="96"/>
      <c r="JO19" s="96"/>
      <c r="JP19" s="65">
        <f t="shared" si="29"/>
        <v>1</v>
      </c>
      <c r="JQ19" s="96"/>
      <c r="LM19" s="205"/>
      <c r="LN19" s="102">
        <f>IFERROR(ROWS($IL$8:IL19)," ")</f>
        <v>12</v>
      </c>
      <c r="LO19" s="103" t="str">
        <f>IFERROR(IF([1]Checklist!$C$3='GenInfo (2)'!E19,'GenInfo (2)'!LN19," ")," ")</f>
        <v xml:space="preserve"> </v>
      </c>
      <c r="LP19" s="104" t="str">
        <f>IFERROR(SMALL($LO$8:$LO$94,ROWS($IL$8:IL19))," ")</f>
        <v xml:space="preserve"> </v>
      </c>
      <c r="LQ19" s="102">
        <f>IFERROR(ROWS($IL$8:IL19)," ")</f>
        <v>12</v>
      </c>
      <c r="LR19" s="103" t="str">
        <f>IFERROR(IF([1]Checklist!$C$4='GenInfo (2)'!E19,'GenInfo (2)'!LQ19," ")," ")</f>
        <v xml:space="preserve"> </v>
      </c>
      <c r="LS19" s="104" t="str">
        <f>IFERROR(SMALL($LR$8:$LR$94,ROWS($IL$8:IL19))," ")</f>
        <v xml:space="preserve"> </v>
      </c>
      <c r="LT19" s="102">
        <f>IFERROR(ROWS($IL$8:IL19)," ")</f>
        <v>12</v>
      </c>
      <c r="LU19" s="103" t="str">
        <f>IFERROR(IF([1]Checklist!$C$5='GenInfo (2)'!E19,'GenInfo (2)'!LT19," ")," ")</f>
        <v xml:space="preserve"> </v>
      </c>
      <c r="LV19" s="104" t="str">
        <f>IFERROR(SMALL($LU$8:$LU$94,ROWS($IL$8:IL19))," ")</f>
        <v xml:space="preserve"> </v>
      </c>
      <c r="LW19" s="102">
        <f>IFERROR(ROWS($IL$8:IL19)," ")</f>
        <v>12</v>
      </c>
      <c r="LX19" s="103">
        <f>IFERROR(IF([1]Checklist!$C$6='GenInfo (2)'!E19,'GenInfo (2)'!LW19," ")," ")</f>
        <v>12</v>
      </c>
      <c r="LY19" s="104" t="str">
        <f>IFERROR(SMALL($LX$8:$LX$94,ROWS($IL$8:IL19))," ")</f>
        <v xml:space="preserve"> </v>
      </c>
      <c r="LZ19" s="102">
        <f>IFERROR(ROWS($IL$8:IL19)," ")</f>
        <v>12</v>
      </c>
      <c r="MA19" s="103" t="str">
        <f>IFERROR(IF([1]Checklist!$C$7='GenInfo (2)'!E19,'GenInfo (2)'!LZ19," ")," ")</f>
        <v xml:space="preserve"> </v>
      </c>
      <c r="MB19" s="104" t="str">
        <f>IFERROR(SMALL($MA$8:$MA$94,ROWS($IL$8:IL19))," ")</f>
        <v xml:space="preserve"> </v>
      </c>
      <c r="MC19" s="102">
        <f>IFERROR(ROWS($IL$8:IL19)," ")</f>
        <v>12</v>
      </c>
      <c r="MD19" s="103" t="str">
        <f>IFERROR(IF([1]Checklist!$C$8='GenInfo (2)'!E19,'GenInfo (2)'!MC19," ")," ")</f>
        <v xml:space="preserve"> </v>
      </c>
      <c r="ME19" s="104" t="str">
        <f>IFERROR(SMALL($MD$8:$MD$94,ROWS($IL$8:IL19))," ")</f>
        <v xml:space="preserve"> </v>
      </c>
      <c r="MF19" s="102">
        <f>IFERROR(ROWS($IL$8:IL19)," ")</f>
        <v>12</v>
      </c>
      <c r="MG19" s="103" t="str">
        <f>IFERROR(IF([1]Checklist!$C$9='GenInfo (2)'!E19,'GenInfo (2)'!MF19," ")," ")</f>
        <v xml:space="preserve"> </v>
      </c>
      <c r="MH19" s="104" t="str">
        <f>IFERROR(SMALL($MG$8:$MG$94,ROWS($IL$8:IL19))," ")</f>
        <v xml:space="preserve"> </v>
      </c>
      <c r="MI19" s="102">
        <f>IFERROR(ROWS($IL$8:$IL19)," ")</f>
        <v>12</v>
      </c>
      <c r="MJ19" s="103" t="str">
        <f>IFERROR(IF([1]Checklist!$C$10='GenInfo (2)'!E19,'GenInfo (2)'!MI19," ")," ")</f>
        <v xml:space="preserve"> </v>
      </c>
      <c r="MK19" s="104" t="str">
        <f>IFERROR(SMALL($MJ$8:$MJ$94,ROWS($IL$8:IL19))," ")</f>
        <v xml:space="preserve"> </v>
      </c>
      <c r="ML19" s="102">
        <f>IFERROR(ROWS($IL$8:IL19)," ")</f>
        <v>12</v>
      </c>
      <c r="MM19" s="103" t="str">
        <f>IFERROR(IF([1]Checklist!$C$11='GenInfo (2)'!E19,'GenInfo (2)'!ML19," ")," ")</f>
        <v xml:space="preserve"> </v>
      </c>
      <c r="MN19" s="104" t="str">
        <f>IFERROR(SMALL($MM$8:$MM$94,ROWS($IL$8:IL19))," ")</f>
        <v xml:space="preserve"> </v>
      </c>
      <c r="MO19" s="102">
        <f>IFERROR(ROWS($IL$8:IL19)," ")</f>
        <v>12</v>
      </c>
      <c r="MP19" s="103" t="str">
        <f>IFERROR(IF([1]Checklist!$C$12='GenInfo (2)'!E19,'GenInfo (2)'!MO19," ")," ")</f>
        <v xml:space="preserve"> </v>
      </c>
      <c r="MQ19" s="104" t="str">
        <f>IFERROR(SMALL($MP$8:$MP$94,ROWS($IL$8:IL19))," ")</f>
        <v xml:space="preserve"> </v>
      </c>
      <c r="MR19" s="102">
        <f>IFERROR(ROWS($IL$8:IL19)," ")</f>
        <v>12</v>
      </c>
      <c r="MS19" s="103" t="str">
        <f>IFERROR(IF([1]Checklist!$C$13='GenInfo (2)'!E19,'GenInfo (2)'!MR19," ")," ")</f>
        <v xml:space="preserve"> </v>
      </c>
      <c r="MT19" s="104" t="str">
        <f>IFERROR(SMALL($MS$8:$MS$94,ROWS($IL$8:IL19))," ")</f>
        <v xml:space="preserve"> </v>
      </c>
      <c r="MU19" s="102">
        <f>IFERROR(ROWS($IL$8:IL19)," ")</f>
        <v>12</v>
      </c>
      <c r="MV19" s="103" t="str">
        <f>IFERROR(IF([1]Checklist!$C$14='GenInfo (2)'!E19,'GenInfo (2)'!MU19," ")," ")</f>
        <v xml:space="preserve"> </v>
      </c>
      <c r="MW19" s="104" t="str">
        <f>IFERROR(SMALL($MV$8:$MV$94,ROWS($IL$8:IL19))," ")</f>
        <v xml:space="preserve"> </v>
      </c>
      <c r="MX19" s="102">
        <f>IFERROR(ROWS($IL$8:IL19)," ")</f>
        <v>12</v>
      </c>
      <c r="MY19" s="103" t="str">
        <f>IFERROR(IF([1]Checklist!$C$15='GenInfo (2)'!E19,'GenInfo (2)'!MX19," ")," ")</f>
        <v xml:space="preserve"> </v>
      </c>
      <c r="MZ19" s="104" t="str">
        <f>IFERROR(SMALL($MY$8:$MY$94,ROWS($IL$8:IL19))," ")</f>
        <v xml:space="preserve"> </v>
      </c>
      <c r="NA19" s="102">
        <f>IFERROR(ROWS($IL$8:IL19)," ")</f>
        <v>12</v>
      </c>
      <c r="NB19" s="103" t="str">
        <f>IFERROR(IF([1]Checklist!$C$16='GenInfo (2)'!E19,'GenInfo (2)'!NA19," ")," ")</f>
        <v xml:space="preserve"> </v>
      </c>
      <c r="NC19" s="104" t="str">
        <f>IFERROR(SMALL($NB$8:$NB$94,ROWS($IL$8:IL19))," ")</f>
        <v xml:space="preserve"> </v>
      </c>
      <c r="ND19" s="102">
        <f>IFERROR(ROWS($IL$8:IL19)," ")</f>
        <v>12</v>
      </c>
      <c r="NE19" s="103" t="str">
        <f>IFERROR(IF([1]Checklist!$C$17='GenInfo (2)'!E19,'GenInfo (2)'!ND19," ")," ")</f>
        <v xml:space="preserve"> </v>
      </c>
      <c r="NF19" s="104" t="str">
        <f>IFERROR(SMALL($NE$8:$NE$94,ROWS($IL$8:IL19))," ")</f>
        <v xml:space="preserve"> </v>
      </c>
    </row>
    <row r="20" spans="1:370" ht="42.75" x14ac:dyDescent="0.45">
      <c r="A20" s="37" t="s">
        <v>213</v>
      </c>
      <c r="B20" s="37">
        <v>91</v>
      </c>
      <c r="C20" s="146" t="s">
        <v>369</v>
      </c>
      <c r="D20" t="s">
        <v>370</v>
      </c>
      <c r="E20" s="106" t="s">
        <v>371</v>
      </c>
      <c r="F20" s="105" t="s">
        <v>372</v>
      </c>
      <c r="G20" s="107" t="s">
        <v>294</v>
      </c>
      <c r="H20" s="96"/>
      <c r="I20" s="146" t="s">
        <v>373</v>
      </c>
      <c r="J20" s="106" t="s">
        <v>374</v>
      </c>
      <c r="K20" s="147"/>
      <c r="L20" s="108" t="s">
        <v>221</v>
      </c>
      <c r="M20" s="108" t="s">
        <v>221</v>
      </c>
      <c r="N20" s="108"/>
      <c r="O20" s="109" t="s">
        <v>221</v>
      </c>
      <c r="P20" s="110"/>
      <c r="Q20" s="110"/>
      <c r="R20" s="96"/>
      <c r="S20" s="108"/>
      <c r="T20" s="96"/>
      <c r="U20" s="147"/>
      <c r="V20" s="108">
        <v>42704</v>
      </c>
      <c r="W20" s="108">
        <v>43739</v>
      </c>
      <c r="X20" s="110" t="s">
        <v>375</v>
      </c>
      <c r="Y20" s="108">
        <v>43739</v>
      </c>
      <c r="Z20" s="110" t="s">
        <v>298</v>
      </c>
      <c r="AA20" s="133"/>
      <c r="AB20" s="96" t="s">
        <v>376</v>
      </c>
      <c r="AC20" s="96" t="s">
        <v>377</v>
      </c>
      <c r="AD20" s="96" t="s">
        <v>378</v>
      </c>
      <c r="AE20" s="96" t="s">
        <v>379</v>
      </c>
      <c r="AF20" s="96" t="s">
        <v>380</v>
      </c>
      <c r="AG20" s="96"/>
      <c r="AH20" s="96" t="s">
        <v>251</v>
      </c>
      <c r="AI20" s="96" t="s">
        <v>230</v>
      </c>
      <c r="AJ20" s="96">
        <v>60634</v>
      </c>
      <c r="AK20" s="148"/>
      <c r="AL20" s="71">
        <f t="shared" si="36"/>
        <v>18</v>
      </c>
      <c r="AM20" s="71">
        <f t="shared" ca="1" si="37"/>
        <v>23</v>
      </c>
      <c r="AN20" s="108">
        <v>36043</v>
      </c>
      <c r="AO20" s="72" t="str">
        <f t="shared" ca="1" si="38"/>
        <v/>
      </c>
      <c r="AP20" s="113" t="s">
        <v>231</v>
      </c>
      <c r="AQ20" s="113" t="s">
        <v>264</v>
      </c>
      <c r="AR20" s="107" t="s">
        <v>233</v>
      </c>
      <c r="AS20" s="96">
        <v>2</v>
      </c>
      <c r="AT20" s="96">
        <v>180</v>
      </c>
      <c r="AU20" s="96"/>
      <c r="AV20" s="96">
        <v>3</v>
      </c>
      <c r="AW20" s="96"/>
      <c r="AX20" s="96" t="s">
        <v>335</v>
      </c>
      <c r="AY20" s="96" t="s">
        <v>235</v>
      </c>
      <c r="AZ20" s="96" t="s">
        <v>235</v>
      </c>
      <c r="BA20" s="96" t="s">
        <v>235</v>
      </c>
      <c r="BB20" s="96"/>
      <c r="BC20" s="149"/>
      <c r="BD20" s="148"/>
      <c r="BE20" s="71">
        <f t="shared" si="39"/>
        <v>1</v>
      </c>
      <c r="BF20" s="71">
        <f t="shared" si="39"/>
        <v>0</v>
      </c>
      <c r="BG20" s="71">
        <f t="shared" si="40"/>
        <v>1</v>
      </c>
      <c r="BH20" s="74">
        <f t="shared" si="41"/>
        <v>0</v>
      </c>
      <c r="BI20" s="75">
        <f t="shared" si="42"/>
        <v>1</v>
      </c>
      <c r="BJ20" s="71">
        <f t="shared" si="43"/>
        <v>0</v>
      </c>
      <c r="BK20" s="75">
        <f t="shared" si="44"/>
        <v>0</v>
      </c>
      <c r="BL20" s="76">
        <f t="shared" si="45"/>
        <v>0</v>
      </c>
      <c r="BM20" s="77">
        <f t="shared" si="45"/>
        <v>0</v>
      </c>
      <c r="BN20" s="114"/>
      <c r="BO20" s="150"/>
      <c r="BP20" s="150"/>
      <c r="BQ20" s="115">
        <v>21</v>
      </c>
      <c r="BR20" s="115">
        <v>0</v>
      </c>
      <c r="BS20" s="74">
        <f t="shared" si="49"/>
        <v>0</v>
      </c>
      <c r="BT20" s="79">
        <v>0</v>
      </c>
      <c r="BU20" s="79">
        <v>0</v>
      </c>
      <c r="BV20" s="80">
        <v>0</v>
      </c>
      <c r="BW20" s="81">
        <v>0</v>
      </c>
      <c r="BX20" s="116"/>
      <c r="BY20" s="151"/>
      <c r="BZ20" s="151"/>
      <c r="CA20" s="134">
        <v>22</v>
      </c>
      <c r="CB20" s="118">
        <v>0</v>
      </c>
      <c r="CC20" s="74">
        <f t="shared" si="50"/>
        <v>0</v>
      </c>
      <c r="CD20" s="79">
        <v>0</v>
      </c>
      <c r="CE20" s="81">
        <v>0</v>
      </c>
      <c r="CF20" s="119"/>
      <c r="CG20" s="119"/>
      <c r="CH20" s="119"/>
      <c r="CI20" s="114">
        <v>20</v>
      </c>
      <c r="CJ20" s="114">
        <v>0</v>
      </c>
      <c r="CK20" s="74">
        <f t="shared" si="51"/>
        <v>0</v>
      </c>
      <c r="CL20" s="79">
        <v>0</v>
      </c>
      <c r="CM20" s="79">
        <v>0</v>
      </c>
      <c r="CN20" s="86">
        <v>0</v>
      </c>
      <c r="CO20" s="81">
        <v>0</v>
      </c>
      <c r="CP20" s="120"/>
      <c r="CQ20" s="121"/>
      <c r="CR20" s="121"/>
      <c r="CS20" s="116"/>
      <c r="CT20" s="116"/>
      <c r="CU20" s="74" t="str">
        <f t="shared" si="52"/>
        <v xml:space="preserve"> </v>
      </c>
      <c r="CV20" s="79">
        <v>0</v>
      </c>
      <c r="CW20" s="79">
        <v>0</v>
      </c>
      <c r="CX20" s="88">
        <v>0</v>
      </c>
      <c r="CY20" s="81">
        <v>0</v>
      </c>
      <c r="CZ20" s="122"/>
      <c r="DA20" s="108"/>
      <c r="DB20" s="108"/>
      <c r="DC20" s="114"/>
      <c r="DD20" s="114"/>
      <c r="DE20" s="74" t="str">
        <f t="shared" si="53"/>
        <v xml:space="preserve"> </v>
      </c>
      <c r="DF20" s="79">
        <v>0</v>
      </c>
      <c r="DG20" s="79">
        <v>0</v>
      </c>
      <c r="DH20" s="79">
        <v>0</v>
      </c>
      <c r="DI20" s="81">
        <v>0</v>
      </c>
      <c r="DJ20" s="120"/>
      <c r="DK20" s="121"/>
      <c r="DL20" s="121"/>
      <c r="DM20" s="116"/>
      <c r="DN20" s="116"/>
      <c r="DO20" s="74" t="str">
        <f t="shared" si="54"/>
        <v xml:space="preserve"> </v>
      </c>
      <c r="DP20" s="79">
        <v>0</v>
      </c>
      <c r="DQ20" s="79">
        <v>0</v>
      </c>
      <c r="DR20" s="79">
        <v>0</v>
      </c>
      <c r="DS20" s="81">
        <v>0</v>
      </c>
      <c r="DT20" s="122"/>
      <c r="DU20" s="108"/>
      <c r="DV20" s="108"/>
      <c r="DW20" s="114"/>
      <c r="DX20" s="114"/>
      <c r="DY20" s="74" t="str">
        <f t="shared" si="55"/>
        <v xml:space="preserve"> </v>
      </c>
      <c r="DZ20" s="90">
        <v>0</v>
      </c>
      <c r="EA20" s="90">
        <v>0</v>
      </c>
      <c r="EB20" s="90">
        <v>0</v>
      </c>
      <c r="EC20" s="91">
        <v>0</v>
      </c>
      <c r="ED20" s="120"/>
      <c r="EE20" s="121"/>
      <c r="EF20" s="121"/>
      <c r="EG20" s="116"/>
      <c r="EH20" s="116"/>
      <c r="EI20" s="74" t="str">
        <f t="shared" si="46"/>
        <v xml:space="preserve"> </v>
      </c>
      <c r="EJ20" s="92">
        <v>0</v>
      </c>
      <c r="EK20" s="92">
        <v>0</v>
      </c>
      <c r="EL20" s="92">
        <v>0</v>
      </c>
      <c r="EM20" s="93">
        <v>0</v>
      </c>
      <c r="EN20" s="122"/>
      <c r="EO20" s="108"/>
      <c r="EP20" s="108"/>
      <c r="EQ20" s="114"/>
      <c r="ER20" s="114"/>
      <c r="ES20" s="74" t="str">
        <f t="shared" si="47"/>
        <v xml:space="preserve"> </v>
      </c>
      <c r="ET20" s="94">
        <v>0</v>
      </c>
      <c r="EU20" s="90"/>
      <c r="EV20" s="94">
        <v>0</v>
      </c>
      <c r="EW20" s="95">
        <v>0</v>
      </c>
      <c r="EX20" s="120"/>
      <c r="EY20" s="121"/>
      <c r="EZ20" s="121"/>
      <c r="FA20" s="116"/>
      <c r="FB20" s="116"/>
      <c r="FC20" s="74" t="str">
        <f t="shared" si="56"/>
        <v xml:space="preserve"> </v>
      </c>
      <c r="FD20" s="123"/>
      <c r="FE20" s="123"/>
      <c r="FF20" s="123"/>
      <c r="FG20" s="123"/>
      <c r="FH20" s="76">
        <f t="shared" si="57"/>
        <v>0</v>
      </c>
      <c r="FI20" s="122"/>
      <c r="FJ20" s="108"/>
      <c r="FK20" s="108"/>
      <c r="FL20" s="114"/>
      <c r="FM20" s="114"/>
      <c r="FN20" s="74" t="str">
        <f t="shared" si="58"/>
        <v xml:space="preserve"> </v>
      </c>
      <c r="FO20" s="90"/>
      <c r="FP20" s="90"/>
      <c r="FQ20" s="90"/>
      <c r="FR20" s="90"/>
      <c r="FS20" s="76">
        <f t="shared" si="59"/>
        <v>0</v>
      </c>
      <c r="FT20" s="120"/>
      <c r="FU20" s="121"/>
      <c r="FV20" s="121"/>
      <c r="FW20" s="116"/>
      <c r="FX20" s="116"/>
      <c r="FY20" s="74" t="str">
        <f t="shared" si="60"/>
        <v xml:space="preserve"> </v>
      </c>
      <c r="FZ20" s="123"/>
      <c r="GA20" s="123"/>
      <c r="GB20" s="123"/>
      <c r="GC20" s="123"/>
      <c r="GD20" s="76">
        <f t="shared" si="61"/>
        <v>0</v>
      </c>
      <c r="GE20" s="111"/>
      <c r="GF20" s="96">
        <v>0</v>
      </c>
      <c r="GG20" s="96" t="s">
        <v>335</v>
      </c>
      <c r="GH20" s="96"/>
      <c r="GI20" s="63" t="s">
        <v>221</v>
      </c>
      <c r="GJ20" s="63" t="s">
        <v>221</v>
      </c>
      <c r="GK20" s="97">
        <f t="shared" si="24"/>
        <v>0</v>
      </c>
      <c r="GL20" s="63" t="s">
        <v>221</v>
      </c>
      <c r="GM20" s="79"/>
      <c r="GN20" s="97">
        <f t="shared" si="72"/>
        <v>0</v>
      </c>
      <c r="GO20" s="97">
        <f t="shared" si="63"/>
        <v>0</v>
      </c>
      <c r="GP20" s="111"/>
      <c r="GQ20" s="96" t="s">
        <v>213</v>
      </c>
      <c r="GR20" s="96" t="s">
        <v>213</v>
      </c>
      <c r="GS20" s="96" t="s">
        <v>213</v>
      </c>
      <c r="GT20" s="96" t="s">
        <v>213</v>
      </c>
      <c r="GU20" s="96" t="s">
        <v>213</v>
      </c>
      <c r="GV20" s="96" t="s">
        <v>213</v>
      </c>
      <c r="GW20" s="96" t="s">
        <v>213</v>
      </c>
      <c r="GX20" s="96" t="s">
        <v>238</v>
      </c>
      <c r="GY20" s="65" t="str">
        <f>IFERROR(IF(IN20&gt;0,"X",""),"")</f>
        <v>X</v>
      </c>
      <c r="GZ20" s="65" t="str">
        <f>IFERROR(IF(JC20&gt;0,"X",""),"")</f>
        <v>X</v>
      </c>
      <c r="HA20" s="100" t="s">
        <v>213</v>
      </c>
      <c r="HB20" s="100" t="s">
        <v>213</v>
      </c>
      <c r="HC20" s="100">
        <v>0</v>
      </c>
      <c r="HD20" s="100">
        <v>0</v>
      </c>
      <c r="HE20" s="100">
        <v>0</v>
      </c>
      <c r="HF20" s="100">
        <v>0</v>
      </c>
      <c r="HG20" s="100" t="s">
        <v>213</v>
      </c>
      <c r="HH20" s="100">
        <v>0</v>
      </c>
      <c r="HI20" s="100">
        <v>0</v>
      </c>
      <c r="HJ20" s="100">
        <v>0</v>
      </c>
      <c r="HK20" s="100">
        <v>0</v>
      </c>
      <c r="HL20" s="65" t="s">
        <v>239</v>
      </c>
      <c r="HM20" s="65" t="str">
        <f t="shared" si="66"/>
        <v/>
      </c>
      <c r="HN20" s="65" t="str">
        <f>IFERROR(IF(OR(IW20&gt;0,IX20&gt;0,IY20&gt;0,IZ20&gt;0),"x",""),"")</f>
        <v/>
      </c>
      <c r="HO20" s="65" t="s">
        <v>239</v>
      </c>
      <c r="HP20" s="65" t="s">
        <v>239</v>
      </c>
      <c r="HQ20" s="65" t="s">
        <v>239</v>
      </c>
      <c r="HR20" s="96"/>
      <c r="HS20" s="96"/>
      <c r="HT20" s="96"/>
      <c r="HU20" s="96"/>
      <c r="HV20" s="96"/>
      <c r="HW20" s="96"/>
      <c r="HX20" s="96"/>
      <c r="HY20" s="96"/>
      <c r="HZ20" s="96" t="s">
        <v>237</v>
      </c>
      <c r="IA20" s="96"/>
      <c r="IB20" s="96"/>
      <c r="IC20" s="96" t="s">
        <v>213</v>
      </c>
      <c r="ID20" s="96" t="s">
        <v>240</v>
      </c>
      <c r="IE20" s="100" t="s">
        <v>213</v>
      </c>
      <c r="IF20" s="100" t="s">
        <v>213</v>
      </c>
      <c r="IG20" s="100" t="s">
        <v>213</v>
      </c>
      <c r="IH20" s="100" t="s">
        <v>213</v>
      </c>
      <c r="II20" s="100" t="s">
        <v>213</v>
      </c>
      <c r="IJ20" s="100" t="s">
        <v>213</v>
      </c>
      <c r="IK20" s="100" t="s">
        <v>213</v>
      </c>
      <c r="IL20" s="100"/>
      <c r="IM20" s="111"/>
      <c r="IN20" s="125">
        <v>7.9</v>
      </c>
      <c r="IO20" s="125"/>
      <c r="IP20" s="96"/>
      <c r="IQ20" s="96"/>
      <c r="IR20" s="96"/>
      <c r="IS20" s="96"/>
      <c r="IT20" s="96"/>
      <c r="IU20" s="96"/>
      <c r="IV20" s="96"/>
      <c r="IW20" s="96"/>
      <c r="IX20" s="96"/>
      <c r="IY20" s="96"/>
      <c r="IZ20" s="96"/>
      <c r="JA20" s="65">
        <f t="shared" si="48"/>
        <v>0</v>
      </c>
      <c r="JB20" s="96"/>
      <c r="JC20" s="125">
        <v>5.8</v>
      </c>
      <c r="JD20" s="125"/>
      <c r="JE20" s="96"/>
      <c r="JF20" s="96"/>
      <c r="JG20" s="96"/>
      <c r="JH20" s="96"/>
      <c r="JI20" s="96"/>
      <c r="JJ20" s="96"/>
      <c r="JK20" s="96"/>
      <c r="JL20" s="96"/>
      <c r="JM20" s="96"/>
      <c r="JN20" s="96"/>
      <c r="JO20" s="96"/>
      <c r="JP20" s="65">
        <f t="shared" si="29"/>
        <v>0</v>
      </c>
      <c r="JQ20" s="96"/>
      <c r="LM20" s="205"/>
      <c r="LN20" s="102">
        <f>IFERROR(ROWS($IL$8:IL20)," ")</f>
        <v>13</v>
      </c>
      <c r="LO20" s="103" t="str">
        <f>IFERROR(IF([1]Checklist!$C$3='GenInfo (2)'!E20,'GenInfo (2)'!LN20," ")," ")</f>
        <v xml:space="preserve"> </v>
      </c>
      <c r="LP20" s="104" t="str">
        <f>IFERROR(SMALL($LO$8:$LO$94,ROWS($IL$8:IL20))," ")</f>
        <v xml:space="preserve"> </v>
      </c>
      <c r="LQ20" s="102">
        <f>IFERROR(ROWS($IL$8:IL20)," ")</f>
        <v>13</v>
      </c>
      <c r="LR20" s="103" t="str">
        <f>IFERROR(IF([1]Checklist!$C$4='GenInfo (2)'!E20,'GenInfo (2)'!LQ20," ")," ")</f>
        <v xml:space="preserve"> </v>
      </c>
      <c r="LS20" s="104" t="str">
        <f>IFERROR(SMALL($LR$8:$LR$94,ROWS($IL$8:IL20))," ")</f>
        <v xml:space="preserve"> </v>
      </c>
      <c r="LT20" s="102">
        <f>IFERROR(ROWS($IL$8:IL20)," ")</f>
        <v>13</v>
      </c>
      <c r="LU20" s="103" t="str">
        <f>IFERROR(IF([1]Checklist!$C$5='GenInfo (2)'!E20,'GenInfo (2)'!LT20," ")," ")</f>
        <v xml:space="preserve"> </v>
      </c>
      <c r="LV20" s="104" t="str">
        <f>IFERROR(SMALL($LU$8:$LU$94,ROWS($IL$8:IL20))," ")</f>
        <v xml:space="preserve"> </v>
      </c>
      <c r="LW20" s="102">
        <f>IFERROR(ROWS($IL$8:IL20)," ")</f>
        <v>13</v>
      </c>
      <c r="LX20" s="103" t="str">
        <f>IFERROR(IF([1]Checklist!$C$6='GenInfo (2)'!E20,'GenInfo (2)'!LW20," ")," ")</f>
        <v xml:space="preserve"> </v>
      </c>
      <c r="LY20" s="104" t="str">
        <f>IFERROR(SMALL($LX$8:$LX$94,ROWS($IL$8:IL20))," ")</f>
        <v xml:space="preserve"> </v>
      </c>
      <c r="LZ20" s="102">
        <f>IFERROR(ROWS($IL$8:IL20)," ")</f>
        <v>13</v>
      </c>
      <c r="MA20" s="103">
        <f>IFERROR(IF([1]Checklist!$C$7='GenInfo (2)'!E20,'GenInfo (2)'!LZ20," ")," ")</f>
        <v>13</v>
      </c>
      <c r="MB20" s="104" t="str">
        <f>IFERROR(SMALL($MA$8:$MA$94,ROWS($IL$8:IL20))," ")</f>
        <v xml:space="preserve"> </v>
      </c>
      <c r="MC20" s="102">
        <f>IFERROR(ROWS($IL$8:IL20)," ")</f>
        <v>13</v>
      </c>
      <c r="MD20" s="103" t="str">
        <f>IFERROR(IF([1]Checklist!$C$8='GenInfo (2)'!E20,'GenInfo (2)'!MC20," ")," ")</f>
        <v xml:space="preserve"> </v>
      </c>
      <c r="ME20" s="104" t="str">
        <f>IFERROR(SMALL($MD$8:$MD$94,ROWS($IL$8:IL20))," ")</f>
        <v xml:space="preserve"> </v>
      </c>
      <c r="MF20" s="102">
        <f>IFERROR(ROWS($IL$8:IL20)," ")</f>
        <v>13</v>
      </c>
      <c r="MG20" s="103" t="str">
        <f>IFERROR(IF([1]Checklist!$C$9='GenInfo (2)'!E20,'GenInfo (2)'!MF20," ")," ")</f>
        <v xml:space="preserve"> </v>
      </c>
      <c r="MH20" s="104" t="str">
        <f>IFERROR(SMALL($MG$8:$MG$94,ROWS($IL$8:IL20))," ")</f>
        <v xml:space="preserve"> </v>
      </c>
      <c r="MI20" s="102">
        <f>IFERROR(ROWS($IL$8:$IL20)," ")</f>
        <v>13</v>
      </c>
      <c r="MJ20" s="103" t="str">
        <f>IFERROR(IF([1]Checklist!$C$10='GenInfo (2)'!E20,'GenInfo (2)'!MI20," ")," ")</f>
        <v xml:space="preserve"> </v>
      </c>
      <c r="MK20" s="104" t="str">
        <f>IFERROR(SMALL($MJ$8:$MJ$94,ROWS($IL$8:IL20))," ")</f>
        <v xml:space="preserve"> </v>
      </c>
      <c r="ML20" s="102">
        <f>IFERROR(ROWS($IL$8:IL20)," ")</f>
        <v>13</v>
      </c>
      <c r="MM20" s="103" t="str">
        <f>IFERROR(IF([1]Checklist!$C$11='GenInfo (2)'!E20,'GenInfo (2)'!ML20," ")," ")</f>
        <v xml:space="preserve"> </v>
      </c>
      <c r="MN20" s="104" t="str">
        <f>IFERROR(SMALL($MM$8:$MM$94,ROWS($IL$8:IL20))," ")</f>
        <v xml:space="preserve"> </v>
      </c>
      <c r="MO20" s="102">
        <f>IFERROR(ROWS($IL$8:IL20)," ")</f>
        <v>13</v>
      </c>
      <c r="MP20" s="103" t="str">
        <f>IFERROR(IF([1]Checklist!$C$12='GenInfo (2)'!E20,'GenInfo (2)'!MO20," ")," ")</f>
        <v xml:space="preserve"> </v>
      </c>
      <c r="MQ20" s="104" t="str">
        <f>IFERROR(SMALL($MP$8:$MP$94,ROWS($IL$8:IL20))," ")</f>
        <v xml:space="preserve"> </v>
      </c>
      <c r="MR20" s="102">
        <f>IFERROR(ROWS($IL$8:IL20)," ")</f>
        <v>13</v>
      </c>
      <c r="MS20" s="103" t="str">
        <f>IFERROR(IF([1]Checklist!$C$13='GenInfo (2)'!E20,'GenInfo (2)'!MR20," ")," ")</f>
        <v xml:space="preserve"> </v>
      </c>
      <c r="MT20" s="104" t="str">
        <f>IFERROR(SMALL($MS$8:$MS$94,ROWS($IL$8:IL20))," ")</f>
        <v xml:space="preserve"> </v>
      </c>
      <c r="MU20" s="102">
        <f>IFERROR(ROWS($IL$8:IL20)," ")</f>
        <v>13</v>
      </c>
      <c r="MV20" s="103" t="str">
        <f>IFERROR(IF([1]Checklist!$C$14='GenInfo (2)'!E20,'GenInfo (2)'!MU20," ")," ")</f>
        <v xml:space="preserve"> </v>
      </c>
      <c r="MW20" s="104" t="str">
        <f>IFERROR(SMALL($MV$8:$MV$94,ROWS($IL$8:IL20))," ")</f>
        <v xml:space="preserve"> </v>
      </c>
      <c r="MX20" s="102">
        <f>IFERROR(ROWS($IL$8:IL20)," ")</f>
        <v>13</v>
      </c>
      <c r="MY20" s="103" t="str">
        <f>IFERROR(IF([1]Checklist!$C$15='GenInfo (2)'!E20,'GenInfo (2)'!MX20," ")," ")</f>
        <v xml:space="preserve"> </v>
      </c>
      <c r="MZ20" s="104" t="str">
        <f>IFERROR(SMALL($MY$8:$MY$94,ROWS($IL$8:IL20))," ")</f>
        <v xml:space="preserve"> </v>
      </c>
      <c r="NA20" s="102">
        <f>IFERROR(ROWS($IL$8:IL20)," ")</f>
        <v>13</v>
      </c>
      <c r="NB20" s="103" t="str">
        <f>IFERROR(IF([1]Checklist!$C$16='GenInfo (2)'!E20,'GenInfo (2)'!NA20," ")," ")</f>
        <v xml:space="preserve"> </v>
      </c>
      <c r="NC20" s="104" t="str">
        <f>IFERROR(SMALL($NB$8:$NB$94,ROWS($IL$8:IL20))," ")</f>
        <v xml:space="preserve"> </v>
      </c>
      <c r="ND20" s="102">
        <f>IFERROR(ROWS($IL$8:IL20)," ")</f>
        <v>13</v>
      </c>
      <c r="NE20" s="103" t="str">
        <f>IFERROR(IF([1]Checklist!$C$17='GenInfo (2)'!E20,'GenInfo (2)'!ND20," ")," ")</f>
        <v xml:space="preserve"> </v>
      </c>
      <c r="NF20" s="104" t="str">
        <f>IFERROR(SMALL($NE$8:$NE$94,ROWS($IL$8:IL20))," ")</f>
        <v xml:space="preserve"> </v>
      </c>
    </row>
    <row r="21" spans="1:370" ht="42.75" x14ac:dyDescent="0.45">
      <c r="A21" s="37" t="s">
        <v>213</v>
      </c>
      <c r="B21" s="37">
        <v>94</v>
      </c>
      <c r="C21" s="146" t="s">
        <v>381</v>
      </c>
      <c r="D21" t="s">
        <v>382</v>
      </c>
      <c r="E21" s="64" t="s">
        <v>371</v>
      </c>
      <c r="F21" s="63" t="s">
        <v>383</v>
      </c>
      <c r="G21" s="64" t="s">
        <v>218</v>
      </c>
      <c r="H21" s="63"/>
      <c r="I21" s="137" t="s">
        <v>384</v>
      </c>
      <c r="J21" s="63" t="s">
        <v>385</v>
      </c>
      <c r="K21" s="62"/>
      <c r="L21" s="67">
        <v>43860</v>
      </c>
      <c r="M21" s="67">
        <v>43860</v>
      </c>
      <c r="N21" s="67" t="s">
        <v>213</v>
      </c>
      <c r="O21" s="68">
        <v>43831</v>
      </c>
      <c r="P21" s="67"/>
      <c r="Q21" s="67"/>
      <c r="R21" s="63" t="s">
        <v>297</v>
      </c>
      <c r="S21" s="67"/>
      <c r="T21" s="63"/>
      <c r="U21" s="62"/>
      <c r="V21" s="67">
        <v>43879</v>
      </c>
      <c r="W21" s="63" t="s">
        <v>222</v>
      </c>
      <c r="X21" s="69"/>
      <c r="Y21" s="63"/>
      <c r="Z21" s="69"/>
      <c r="AA21" s="62"/>
      <c r="AB21" s="63"/>
      <c r="AC21" s="63"/>
      <c r="AD21" s="63"/>
      <c r="AE21" s="63"/>
      <c r="AF21" s="63"/>
      <c r="AG21" s="63"/>
      <c r="AH21" s="63"/>
      <c r="AI21" s="63"/>
      <c r="AJ21" s="63"/>
      <c r="AK21" s="62"/>
      <c r="AL21" s="71">
        <f t="shared" si="36"/>
        <v>16</v>
      </c>
      <c r="AM21" s="71">
        <f t="shared" ca="1" si="37"/>
        <v>18</v>
      </c>
      <c r="AN21" s="67">
        <v>37967</v>
      </c>
      <c r="AO21" s="72">
        <f t="shared" ca="1" si="38"/>
        <v>34</v>
      </c>
      <c r="AP21" s="63" t="s">
        <v>231</v>
      </c>
      <c r="AQ21" s="113" t="s">
        <v>264</v>
      </c>
      <c r="AR21" s="70" t="s">
        <v>233</v>
      </c>
      <c r="AS21" s="63"/>
      <c r="AT21" s="63"/>
      <c r="AU21" s="63"/>
      <c r="AV21" s="63"/>
      <c r="AW21" s="63"/>
      <c r="AX21" s="63" t="s">
        <v>253</v>
      </c>
      <c r="AY21" s="63" t="s">
        <v>265</v>
      </c>
      <c r="AZ21" s="63" t="s">
        <v>386</v>
      </c>
      <c r="BA21" s="63" t="s">
        <v>235</v>
      </c>
      <c r="BB21" s="63"/>
      <c r="BC21" s="63"/>
      <c r="BD21" s="62"/>
      <c r="BE21" s="71">
        <f t="shared" si="39"/>
        <v>1</v>
      </c>
      <c r="BF21" s="71">
        <f t="shared" si="39"/>
        <v>1</v>
      </c>
      <c r="BG21" s="71">
        <f t="shared" si="40"/>
        <v>0</v>
      </c>
      <c r="BH21" s="74">
        <f t="shared" si="41"/>
        <v>0.88888888888888884</v>
      </c>
      <c r="BI21" s="75">
        <f t="shared" si="42"/>
        <v>0</v>
      </c>
      <c r="BJ21" s="71">
        <f t="shared" si="43"/>
        <v>0</v>
      </c>
      <c r="BK21" s="75">
        <f t="shared" si="44"/>
        <v>0</v>
      </c>
      <c r="BL21" s="76">
        <f t="shared" si="45"/>
        <v>0</v>
      </c>
      <c r="BM21" s="77">
        <f t="shared" si="45"/>
        <v>0</v>
      </c>
      <c r="BN21" s="78"/>
      <c r="BO21" s="67"/>
      <c r="BP21" s="67"/>
      <c r="BQ21" s="63"/>
      <c r="BR21" s="63"/>
      <c r="BS21" s="74" t="str">
        <f t="shared" si="49"/>
        <v xml:space="preserve"> </v>
      </c>
      <c r="BT21" s="79" t="s">
        <v>221</v>
      </c>
      <c r="BU21" s="79" t="s">
        <v>221</v>
      </c>
      <c r="BV21" s="80">
        <v>0</v>
      </c>
      <c r="BW21" s="81">
        <v>0</v>
      </c>
      <c r="BX21" s="82"/>
      <c r="BY21" s="83"/>
      <c r="BZ21" s="83"/>
      <c r="CA21" s="84"/>
      <c r="CB21" s="84"/>
      <c r="CC21" s="74" t="str">
        <f t="shared" si="50"/>
        <v xml:space="preserve"> </v>
      </c>
      <c r="CD21" s="79" t="s">
        <v>221</v>
      </c>
      <c r="CE21" s="81">
        <v>0</v>
      </c>
      <c r="CF21" s="85"/>
      <c r="CG21" s="85"/>
      <c r="CH21" s="85"/>
      <c r="CI21" s="78"/>
      <c r="CJ21" s="78"/>
      <c r="CK21" s="74" t="str">
        <f t="shared" si="51"/>
        <v xml:space="preserve"> </v>
      </c>
      <c r="CL21" s="79" t="s">
        <v>221</v>
      </c>
      <c r="CM21" s="79" t="s">
        <v>221</v>
      </c>
      <c r="CN21" s="86" t="s">
        <v>221</v>
      </c>
      <c r="CO21" s="81">
        <v>0</v>
      </c>
      <c r="CP21" s="87"/>
      <c r="CQ21" s="83"/>
      <c r="CR21" s="83"/>
      <c r="CS21" s="82"/>
      <c r="CT21" s="82"/>
      <c r="CU21" s="74" t="str">
        <f t="shared" si="52"/>
        <v xml:space="preserve"> </v>
      </c>
      <c r="CV21" s="79" t="s">
        <v>221</v>
      </c>
      <c r="CW21" s="79" t="s">
        <v>221</v>
      </c>
      <c r="CX21" s="88" t="s">
        <v>221</v>
      </c>
      <c r="CY21" s="81">
        <v>0</v>
      </c>
      <c r="CZ21" s="89"/>
      <c r="DA21" s="67"/>
      <c r="DB21" s="67"/>
      <c r="DC21" s="78"/>
      <c r="DD21" s="78"/>
      <c r="DE21" s="74" t="str">
        <f t="shared" si="53"/>
        <v xml:space="preserve"> </v>
      </c>
      <c r="DF21" s="79" t="s">
        <v>221</v>
      </c>
      <c r="DG21" s="79" t="s">
        <v>221</v>
      </c>
      <c r="DH21" s="79" t="s">
        <v>221</v>
      </c>
      <c r="DI21" s="81">
        <v>0</v>
      </c>
      <c r="DJ21" s="87"/>
      <c r="DK21" s="83"/>
      <c r="DL21" s="83"/>
      <c r="DM21" s="82"/>
      <c r="DN21" s="82"/>
      <c r="DO21" s="74" t="str">
        <f t="shared" si="54"/>
        <v xml:space="preserve"> </v>
      </c>
      <c r="DP21" s="79" t="s">
        <v>221</v>
      </c>
      <c r="DQ21" s="79" t="s">
        <v>221</v>
      </c>
      <c r="DR21" s="79" t="s">
        <v>221</v>
      </c>
      <c r="DS21" s="81">
        <v>0</v>
      </c>
      <c r="DT21" s="89"/>
      <c r="DU21" s="67"/>
      <c r="DV21" s="67"/>
      <c r="DW21" s="78"/>
      <c r="DX21" s="78"/>
      <c r="DY21" s="74" t="str">
        <f t="shared" si="55"/>
        <v xml:space="preserve"> </v>
      </c>
      <c r="DZ21" s="90">
        <v>0</v>
      </c>
      <c r="EA21" s="90">
        <v>0</v>
      </c>
      <c r="EB21" s="90">
        <v>0</v>
      </c>
      <c r="EC21" s="91">
        <v>0</v>
      </c>
      <c r="ED21" s="87"/>
      <c r="EE21" s="83"/>
      <c r="EF21" s="83"/>
      <c r="EG21" s="82">
        <v>9</v>
      </c>
      <c r="EH21" s="82">
        <v>8</v>
      </c>
      <c r="EI21" s="74">
        <f t="shared" si="46"/>
        <v>0.88888888888888884</v>
      </c>
      <c r="EJ21" s="92">
        <v>0</v>
      </c>
      <c r="EK21" s="92">
        <v>0</v>
      </c>
      <c r="EL21" s="92">
        <v>0</v>
      </c>
      <c r="EM21" s="93">
        <v>0</v>
      </c>
      <c r="EN21" s="89"/>
      <c r="EO21" s="67"/>
      <c r="EP21" s="67"/>
      <c r="EQ21" s="78">
        <v>10</v>
      </c>
      <c r="ER21" s="78">
        <v>8</v>
      </c>
      <c r="ES21" s="74">
        <f t="shared" si="47"/>
        <v>0.8</v>
      </c>
      <c r="ET21" s="94">
        <v>9</v>
      </c>
      <c r="EU21" s="94"/>
      <c r="EV21" s="94">
        <v>9</v>
      </c>
      <c r="EW21" s="95">
        <v>54</v>
      </c>
      <c r="EX21" s="87"/>
      <c r="EY21" s="83"/>
      <c r="EZ21" s="83"/>
      <c r="FA21" s="82"/>
      <c r="FB21" s="82"/>
      <c r="FC21" s="74" t="str">
        <f t="shared" si="56"/>
        <v xml:space="preserve"> </v>
      </c>
      <c r="FD21" s="92"/>
      <c r="FE21" s="92"/>
      <c r="FF21" s="92"/>
      <c r="FG21" s="92"/>
      <c r="FH21" s="76">
        <f t="shared" si="57"/>
        <v>0</v>
      </c>
      <c r="FI21" s="89"/>
      <c r="FJ21" s="67"/>
      <c r="FK21" s="67"/>
      <c r="FL21" s="78"/>
      <c r="FM21" s="78"/>
      <c r="FN21" s="74" t="str">
        <f t="shared" si="58"/>
        <v xml:space="preserve"> </v>
      </c>
      <c r="FO21" s="94"/>
      <c r="FP21" s="94"/>
      <c r="FQ21" s="94"/>
      <c r="FR21" s="94"/>
      <c r="FS21" s="76">
        <f t="shared" si="59"/>
        <v>0</v>
      </c>
      <c r="FT21" s="87"/>
      <c r="FU21" s="83"/>
      <c r="FV21" s="83"/>
      <c r="FW21" s="82"/>
      <c r="FX21" s="82"/>
      <c r="FY21" s="74" t="str">
        <f t="shared" si="60"/>
        <v xml:space="preserve"> </v>
      </c>
      <c r="FZ21" s="92"/>
      <c r="GA21" s="92"/>
      <c r="GB21" s="92"/>
      <c r="GC21" s="92"/>
      <c r="GD21" s="76">
        <f t="shared" si="61"/>
        <v>0</v>
      </c>
      <c r="GE21" s="62"/>
      <c r="GF21" s="96" t="s">
        <v>221</v>
      </c>
      <c r="GG21" s="96" t="s">
        <v>221</v>
      </c>
      <c r="GH21" s="63"/>
      <c r="GI21" s="63" t="s">
        <v>221</v>
      </c>
      <c r="GJ21" s="63" t="s">
        <v>221</v>
      </c>
      <c r="GK21" s="97">
        <f t="shared" si="24"/>
        <v>0</v>
      </c>
      <c r="GL21" s="63" t="s">
        <v>221</v>
      </c>
      <c r="GM21" s="98"/>
      <c r="GN21" s="97">
        <f t="shared" si="72"/>
        <v>0</v>
      </c>
      <c r="GO21" s="97" t="str">
        <f t="shared" si="63"/>
        <v xml:space="preserve"> </v>
      </c>
      <c r="GP21" s="62"/>
      <c r="GQ21" s="63" t="s">
        <v>213</v>
      </c>
      <c r="GR21" s="63" t="s">
        <v>213</v>
      </c>
      <c r="GS21" s="63" t="s">
        <v>213</v>
      </c>
      <c r="GT21" s="63" t="s">
        <v>237</v>
      </c>
      <c r="GU21" s="63" t="s">
        <v>237</v>
      </c>
      <c r="GV21" s="63" t="s">
        <v>237</v>
      </c>
      <c r="GW21" s="63" t="s">
        <v>237</v>
      </c>
      <c r="GX21" s="63"/>
      <c r="GY21" s="65" t="s">
        <v>237</v>
      </c>
      <c r="GZ21" s="65" t="s">
        <v>237</v>
      </c>
      <c r="HA21" s="63" t="s">
        <v>213</v>
      </c>
      <c r="HB21" s="63" t="s">
        <v>213</v>
      </c>
      <c r="HC21" s="63"/>
      <c r="HD21" s="63"/>
      <c r="HE21" s="63"/>
      <c r="HF21" s="63"/>
      <c r="HG21" s="63" t="s">
        <v>213</v>
      </c>
      <c r="HH21" s="63"/>
      <c r="HI21" s="63"/>
      <c r="HJ21" s="63"/>
      <c r="HK21" s="63"/>
      <c r="HL21" s="65" t="str">
        <f>IFERROR(IF(OR(IQ21&gt;0,IR21&gt;0,IS21&gt;0),"x",""),"")</f>
        <v/>
      </c>
      <c r="HM21" s="65" t="str">
        <f t="shared" si="66"/>
        <v/>
      </c>
      <c r="HN21" s="65" t="s">
        <v>239</v>
      </c>
      <c r="HO21" s="65" t="str">
        <f>IFERROR(IF(OR(JE21&gt;0,JF21&gt;0,JG21&gt;0,JH21&gt;0),"x",""),"")</f>
        <v/>
      </c>
      <c r="HP21" s="99" t="str">
        <f t="shared" ref="HP21" si="73">IFERROR(IF(OR(JI21&gt;0,JJ21&gt;0,JK21&gt;0),"x",""),"")</f>
        <v/>
      </c>
      <c r="HQ21" s="99" t="s">
        <v>239</v>
      </c>
      <c r="HR21" s="63"/>
      <c r="HS21" s="63"/>
      <c r="HT21" s="63"/>
      <c r="HU21" s="63" t="s">
        <v>213</v>
      </c>
      <c r="HV21" s="63"/>
      <c r="HW21" s="63"/>
      <c r="HX21" s="63"/>
      <c r="HY21" s="63"/>
      <c r="HZ21" s="63"/>
      <c r="IA21" s="63"/>
      <c r="IB21" s="63"/>
      <c r="IC21" s="63" t="s">
        <v>237</v>
      </c>
      <c r="ID21" s="96"/>
      <c r="IE21" s="100"/>
      <c r="IF21" s="100"/>
      <c r="IG21" s="100"/>
      <c r="IH21" s="100"/>
      <c r="II21" s="100"/>
      <c r="IJ21" s="100"/>
      <c r="IK21" s="100"/>
      <c r="IL21" s="63" t="s">
        <v>213</v>
      </c>
      <c r="IM21" s="62"/>
      <c r="IN21" s="101"/>
      <c r="IO21" s="101"/>
      <c r="IP21" s="63"/>
      <c r="IQ21" s="63"/>
      <c r="IR21" s="63"/>
      <c r="IS21" s="63"/>
      <c r="IT21" s="63"/>
      <c r="IU21" s="63"/>
      <c r="IV21" s="63"/>
      <c r="IW21" s="63"/>
      <c r="IX21" s="63"/>
      <c r="IY21" s="63"/>
      <c r="IZ21" s="63"/>
      <c r="JA21" s="65">
        <f t="shared" si="48"/>
        <v>0</v>
      </c>
      <c r="JB21" s="63"/>
      <c r="JC21" s="101"/>
      <c r="JD21" s="101"/>
      <c r="JE21" s="63"/>
      <c r="JF21" s="63"/>
      <c r="JG21" s="63"/>
      <c r="JH21" s="63"/>
      <c r="JI21" s="63"/>
      <c r="JJ21" s="63"/>
      <c r="JK21" s="63"/>
      <c r="JL21" s="63"/>
      <c r="JM21" s="63"/>
      <c r="JN21" s="96"/>
      <c r="JO21" s="63"/>
      <c r="JP21" s="65">
        <f t="shared" si="29"/>
        <v>0</v>
      </c>
      <c r="JQ21" s="96"/>
      <c r="LM21" s="205"/>
      <c r="LN21" s="102">
        <f>IFERROR(ROWS($IL$8:IL21)," ")</f>
        <v>14</v>
      </c>
      <c r="LO21" s="103" t="str">
        <f>IFERROR(IF([1]Checklist!$C$3='GenInfo (2)'!E21,'GenInfo (2)'!LN21," ")," ")</f>
        <v xml:space="preserve"> </v>
      </c>
      <c r="LP21" s="104" t="str">
        <f>IFERROR(SMALL($LO$8:$LO$94,ROWS($IL$8:IL21))," ")</f>
        <v xml:space="preserve"> </v>
      </c>
      <c r="LQ21" s="102">
        <f>IFERROR(ROWS($IL$8:IL21)," ")</f>
        <v>14</v>
      </c>
      <c r="LR21" s="103" t="str">
        <f>IFERROR(IF([1]Checklist!$C$4='GenInfo (2)'!E21,'GenInfo (2)'!LQ21," ")," ")</f>
        <v xml:space="preserve"> </v>
      </c>
      <c r="LS21" s="104" t="str">
        <f>IFERROR(SMALL($LR$8:$LR$94,ROWS($IL$8:IL21))," ")</f>
        <v xml:space="preserve"> </v>
      </c>
      <c r="LT21" s="102">
        <f>IFERROR(ROWS($IL$8:IL21)," ")</f>
        <v>14</v>
      </c>
      <c r="LU21" s="103" t="str">
        <f>IFERROR(IF([1]Checklist!$C$5='GenInfo (2)'!E21,'GenInfo (2)'!LT21," ")," ")</f>
        <v xml:space="preserve"> </v>
      </c>
      <c r="LV21" s="104" t="str">
        <f>IFERROR(SMALL($LU$8:$LU$94,ROWS($IL$8:IL21))," ")</f>
        <v xml:space="preserve"> </v>
      </c>
      <c r="LW21" s="102">
        <f>IFERROR(ROWS($IL$8:IL21)," ")</f>
        <v>14</v>
      </c>
      <c r="LX21" s="103" t="str">
        <f>IFERROR(IF([1]Checklist!$C$6='GenInfo (2)'!E21,'GenInfo (2)'!LW21," ")," ")</f>
        <v xml:space="preserve"> </v>
      </c>
      <c r="LY21" s="104" t="str">
        <f>IFERROR(SMALL($LX$8:$LX$94,ROWS($IL$8:IL21))," ")</f>
        <v xml:space="preserve"> </v>
      </c>
      <c r="LZ21" s="102">
        <f>IFERROR(ROWS($IL$8:IL21)," ")</f>
        <v>14</v>
      </c>
      <c r="MA21" s="103">
        <f>IFERROR(IF([1]Checklist!$C$7='GenInfo (2)'!E21,'GenInfo (2)'!LZ21," ")," ")</f>
        <v>14</v>
      </c>
      <c r="MB21" s="104" t="str">
        <f>IFERROR(SMALL($MA$8:$MA$94,ROWS($IL$8:IL21))," ")</f>
        <v xml:space="preserve"> </v>
      </c>
      <c r="MC21" s="102">
        <f>IFERROR(ROWS($IL$8:IL21)," ")</f>
        <v>14</v>
      </c>
      <c r="MD21" s="103" t="str">
        <f>IFERROR(IF([1]Checklist!$C$8='GenInfo (2)'!E21,'GenInfo (2)'!MC21," ")," ")</f>
        <v xml:space="preserve"> </v>
      </c>
      <c r="ME21" s="104" t="str">
        <f>IFERROR(SMALL($MD$8:$MD$94,ROWS($IL$8:IL21))," ")</f>
        <v xml:space="preserve"> </v>
      </c>
      <c r="MF21" s="102">
        <f>IFERROR(ROWS($IL$8:IL21)," ")</f>
        <v>14</v>
      </c>
      <c r="MG21" s="103" t="str">
        <f>IFERROR(IF([1]Checklist!$C$9='GenInfo (2)'!E21,'GenInfo (2)'!MF21," ")," ")</f>
        <v xml:space="preserve"> </v>
      </c>
      <c r="MH21" s="104" t="str">
        <f>IFERROR(SMALL($MG$8:$MG$94,ROWS($IL$8:IL21))," ")</f>
        <v xml:space="preserve"> </v>
      </c>
      <c r="MI21" s="102">
        <f>IFERROR(ROWS($IL$8:$IL21)," ")</f>
        <v>14</v>
      </c>
      <c r="MJ21" s="103" t="str">
        <f>IFERROR(IF([1]Checklist!$C$10='GenInfo (2)'!E21,'GenInfo (2)'!MI21," ")," ")</f>
        <v xml:space="preserve"> </v>
      </c>
      <c r="MK21" s="104" t="str">
        <f>IFERROR(SMALL($MJ$8:$MJ$94,ROWS($IL$8:IL21))," ")</f>
        <v xml:space="preserve"> </v>
      </c>
      <c r="ML21" s="102">
        <f>IFERROR(ROWS($IL$8:IL21)," ")</f>
        <v>14</v>
      </c>
      <c r="MM21" s="103" t="str">
        <f>IFERROR(IF([1]Checklist!$C$11='GenInfo (2)'!E21,'GenInfo (2)'!ML21," ")," ")</f>
        <v xml:space="preserve"> </v>
      </c>
      <c r="MN21" s="104" t="str">
        <f>IFERROR(SMALL($MM$8:$MM$94,ROWS($IL$8:IL21))," ")</f>
        <v xml:space="preserve"> </v>
      </c>
      <c r="MO21" s="102">
        <f>IFERROR(ROWS($IL$8:IL21)," ")</f>
        <v>14</v>
      </c>
      <c r="MP21" s="103" t="str">
        <f>IFERROR(IF([1]Checklist!$C$12='GenInfo (2)'!E21,'GenInfo (2)'!MO21," ")," ")</f>
        <v xml:space="preserve"> </v>
      </c>
      <c r="MQ21" s="104" t="str">
        <f>IFERROR(SMALL($MP$8:$MP$94,ROWS($IL$8:IL21))," ")</f>
        <v xml:space="preserve"> </v>
      </c>
      <c r="MR21" s="102">
        <f>IFERROR(ROWS($IL$8:IL21)," ")</f>
        <v>14</v>
      </c>
      <c r="MS21" s="103" t="str">
        <f>IFERROR(IF([1]Checklist!$C$13='GenInfo (2)'!E21,'GenInfo (2)'!MR21," ")," ")</f>
        <v xml:space="preserve"> </v>
      </c>
      <c r="MT21" s="104" t="str">
        <f>IFERROR(SMALL($MS$8:$MS$94,ROWS($IL$8:IL21))," ")</f>
        <v xml:space="preserve"> </v>
      </c>
      <c r="MU21" s="102">
        <f>IFERROR(ROWS($IL$8:IL21)," ")</f>
        <v>14</v>
      </c>
      <c r="MV21" s="103" t="str">
        <f>IFERROR(IF([1]Checklist!$C$14='GenInfo (2)'!E21,'GenInfo (2)'!MU21," ")," ")</f>
        <v xml:space="preserve"> </v>
      </c>
      <c r="MW21" s="104" t="str">
        <f>IFERROR(SMALL($MV$8:$MV$94,ROWS($IL$8:IL21))," ")</f>
        <v xml:space="preserve"> </v>
      </c>
      <c r="MX21" s="102">
        <f>IFERROR(ROWS($IL$8:IL21)," ")</f>
        <v>14</v>
      </c>
      <c r="MY21" s="103" t="str">
        <f>IFERROR(IF([1]Checklist!$C$15='GenInfo (2)'!E21,'GenInfo (2)'!MX21," ")," ")</f>
        <v xml:space="preserve"> </v>
      </c>
      <c r="MZ21" s="104" t="str">
        <f>IFERROR(SMALL($MY$8:$MY$94,ROWS($IL$8:IL21))," ")</f>
        <v xml:space="preserve"> </v>
      </c>
      <c r="NA21" s="102">
        <f>IFERROR(ROWS($IL$8:IL21)," ")</f>
        <v>14</v>
      </c>
      <c r="NB21" s="103" t="str">
        <f>IFERROR(IF([1]Checklist!$C$16='GenInfo (2)'!E21,'GenInfo (2)'!NA21," ")," ")</f>
        <v xml:space="preserve"> </v>
      </c>
      <c r="NC21" s="104" t="str">
        <f>IFERROR(SMALL($NB$8:$NB$94,ROWS($IL$8:IL21))," ")</f>
        <v xml:space="preserve"> </v>
      </c>
      <c r="ND21" s="102">
        <f>IFERROR(ROWS($IL$8:IL21)," ")</f>
        <v>14</v>
      </c>
      <c r="NE21" s="103" t="str">
        <f>IFERROR(IF([1]Checklist!$C$17='GenInfo (2)'!E21,'GenInfo (2)'!ND21," ")," ")</f>
        <v xml:space="preserve"> </v>
      </c>
      <c r="NF21" s="104" t="str">
        <f>IFERROR(SMALL($NE$8:$NE$94,ROWS($IL$8:IL21))," ")</f>
        <v xml:space="preserve"> </v>
      </c>
    </row>
    <row r="22" spans="1:370" ht="42.75" x14ac:dyDescent="0.45">
      <c r="A22" s="37" t="s">
        <v>213</v>
      </c>
      <c r="B22" s="37">
        <v>99</v>
      </c>
      <c r="C22" s="146" t="s">
        <v>387</v>
      </c>
      <c r="D22" t="s">
        <v>388</v>
      </c>
      <c r="E22" s="64" t="s">
        <v>371</v>
      </c>
      <c r="F22" s="63" t="s">
        <v>389</v>
      </c>
      <c r="G22" s="64" t="s">
        <v>218</v>
      </c>
      <c r="H22" s="63"/>
      <c r="I22" s="137" t="s">
        <v>390</v>
      </c>
      <c r="J22" s="63" t="s">
        <v>391</v>
      </c>
      <c r="K22" s="62"/>
      <c r="L22" s="67">
        <v>43879</v>
      </c>
      <c r="M22" s="67">
        <v>43879</v>
      </c>
      <c r="N22" s="67" t="s">
        <v>213</v>
      </c>
      <c r="O22" s="68">
        <v>43862</v>
      </c>
      <c r="P22" s="67">
        <v>43879</v>
      </c>
      <c r="Q22" s="67">
        <v>43908</v>
      </c>
      <c r="R22" s="63"/>
      <c r="S22" s="67"/>
      <c r="T22" s="63"/>
      <c r="U22" s="62"/>
      <c r="V22" s="67">
        <v>43900</v>
      </c>
      <c r="W22" s="63" t="s">
        <v>222</v>
      </c>
      <c r="X22" s="69"/>
      <c r="Y22" s="63"/>
      <c r="Z22" s="69"/>
      <c r="AA22" s="62"/>
      <c r="AB22" s="63" t="s">
        <v>392</v>
      </c>
      <c r="AC22" s="63" t="s">
        <v>393</v>
      </c>
      <c r="AD22" s="63"/>
      <c r="AE22" s="63" t="s">
        <v>394</v>
      </c>
      <c r="AF22" s="63"/>
      <c r="AG22" s="63"/>
      <c r="AH22" s="63"/>
      <c r="AI22" s="63"/>
      <c r="AJ22" s="63"/>
      <c r="AK22" s="62"/>
      <c r="AL22" s="71">
        <f t="shared" si="36"/>
        <v>19</v>
      </c>
      <c r="AM22" s="71">
        <v>18</v>
      </c>
      <c r="AN22" s="67">
        <v>36938</v>
      </c>
      <c r="AO22" s="72">
        <f t="shared" ca="1" si="38"/>
        <v>0</v>
      </c>
      <c r="AP22" s="63" t="s">
        <v>231</v>
      </c>
      <c r="AQ22" s="113" t="s">
        <v>264</v>
      </c>
      <c r="AR22" s="70" t="s">
        <v>233</v>
      </c>
      <c r="AS22" s="63">
        <v>1</v>
      </c>
      <c r="AT22" s="63" t="s">
        <v>265</v>
      </c>
      <c r="AU22" s="63">
        <v>12</v>
      </c>
      <c r="AV22" s="63">
        <v>3</v>
      </c>
      <c r="AW22" s="63" t="s">
        <v>265</v>
      </c>
      <c r="AX22" s="63" t="s">
        <v>236</v>
      </c>
      <c r="AY22" s="63" t="s">
        <v>265</v>
      </c>
      <c r="AZ22" s="63" t="s">
        <v>235</v>
      </c>
      <c r="BA22" s="63" t="s">
        <v>235</v>
      </c>
      <c r="BB22" s="63"/>
      <c r="BC22" s="63"/>
      <c r="BD22" s="62"/>
      <c r="BE22" s="71">
        <f t="shared" si="39"/>
        <v>0</v>
      </c>
      <c r="BF22" s="71">
        <f t="shared" si="39"/>
        <v>0</v>
      </c>
      <c r="BG22" s="71">
        <f t="shared" si="40"/>
        <v>0</v>
      </c>
      <c r="BH22" s="74" t="str">
        <f t="shared" si="41"/>
        <v xml:space="preserve"> </v>
      </c>
      <c r="BI22" s="75" t="str">
        <f t="shared" si="42"/>
        <v xml:space="preserve"> </v>
      </c>
      <c r="BJ22" s="71">
        <f t="shared" si="43"/>
        <v>0</v>
      </c>
      <c r="BK22" s="75" t="str">
        <f t="shared" si="44"/>
        <v xml:space="preserve"> </v>
      </c>
      <c r="BL22" s="76">
        <f t="shared" si="45"/>
        <v>0</v>
      </c>
      <c r="BM22" s="77">
        <f t="shared" si="45"/>
        <v>0</v>
      </c>
      <c r="BN22" s="78"/>
      <c r="BO22" s="67"/>
      <c r="BP22" s="67"/>
      <c r="BQ22" s="63"/>
      <c r="BR22" s="63"/>
      <c r="BS22" s="74" t="str">
        <f t="shared" si="49"/>
        <v xml:space="preserve"> </v>
      </c>
      <c r="BT22" s="79" t="s">
        <v>221</v>
      </c>
      <c r="BU22" s="79" t="s">
        <v>221</v>
      </c>
      <c r="BV22" s="80">
        <v>0</v>
      </c>
      <c r="BW22" s="81">
        <v>0</v>
      </c>
      <c r="BX22" s="82"/>
      <c r="BY22" s="83"/>
      <c r="BZ22" s="83"/>
      <c r="CA22" s="84"/>
      <c r="CB22" s="84"/>
      <c r="CC22" s="74" t="str">
        <f t="shared" si="50"/>
        <v xml:space="preserve"> </v>
      </c>
      <c r="CD22" s="79" t="s">
        <v>221</v>
      </c>
      <c r="CE22" s="81">
        <v>0</v>
      </c>
      <c r="CF22" s="85"/>
      <c r="CG22" s="85"/>
      <c r="CH22" s="85"/>
      <c r="CI22" s="78"/>
      <c r="CJ22" s="78"/>
      <c r="CK22" s="74" t="str">
        <f t="shared" si="51"/>
        <v xml:space="preserve"> </v>
      </c>
      <c r="CL22" s="79" t="s">
        <v>221</v>
      </c>
      <c r="CM22" s="79" t="s">
        <v>221</v>
      </c>
      <c r="CN22" s="86" t="s">
        <v>221</v>
      </c>
      <c r="CO22" s="81">
        <v>0</v>
      </c>
      <c r="CP22" s="87"/>
      <c r="CQ22" s="83"/>
      <c r="CR22" s="83"/>
      <c r="CS22" s="82"/>
      <c r="CT22" s="82"/>
      <c r="CU22" s="74" t="str">
        <f t="shared" si="52"/>
        <v xml:space="preserve"> </v>
      </c>
      <c r="CV22" s="79" t="s">
        <v>221</v>
      </c>
      <c r="CW22" s="79" t="s">
        <v>221</v>
      </c>
      <c r="CX22" s="88" t="s">
        <v>221</v>
      </c>
      <c r="CY22" s="81">
        <v>0</v>
      </c>
      <c r="CZ22" s="89"/>
      <c r="DA22" s="67"/>
      <c r="DB22" s="67"/>
      <c r="DC22" s="78"/>
      <c r="DD22" s="78"/>
      <c r="DE22" s="74" t="str">
        <f t="shared" si="53"/>
        <v xml:space="preserve"> </v>
      </c>
      <c r="DF22" s="79" t="s">
        <v>221</v>
      </c>
      <c r="DG22" s="79" t="s">
        <v>221</v>
      </c>
      <c r="DH22" s="79" t="s">
        <v>221</v>
      </c>
      <c r="DI22" s="81">
        <v>0</v>
      </c>
      <c r="DJ22" s="87"/>
      <c r="DK22" s="83"/>
      <c r="DL22" s="83"/>
      <c r="DM22" s="82"/>
      <c r="DN22" s="82"/>
      <c r="DO22" s="74" t="str">
        <f t="shared" si="54"/>
        <v xml:space="preserve"> </v>
      </c>
      <c r="DP22" s="79" t="s">
        <v>221</v>
      </c>
      <c r="DQ22" s="79" t="s">
        <v>221</v>
      </c>
      <c r="DR22" s="79" t="s">
        <v>221</v>
      </c>
      <c r="DS22" s="81">
        <v>0</v>
      </c>
      <c r="DT22" s="89"/>
      <c r="DU22" s="67"/>
      <c r="DV22" s="67"/>
      <c r="DW22" s="78"/>
      <c r="DX22" s="78"/>
      <c r="DY22" s="74" t="str">
        <f t="shared" si="55"/>
        <v xml:space="preserve"> </v>
      </c>
      <c r="DZ22" s="90">
        <v>0</v>
      </c>
      <c r="EA22" s="90">
        <v>0</v>
      </c>
      <c r="EB22" s="90">
        <v>0</v>
      </c>
      <c r="EC22" s="91">
        <v>0</v>
      </c>
      <c r="ED22" s="87"/>
      <c r="EE22" s="83"/>
      <c r="EF22" s="83"/>
      <c r="EG22" s="82"/>
      <c r="EH22" s="82"/>
      <c r="EI22" s="74" t="str">
        <f t="shared" si="46"/>
        <v xml:space="preserve"> </v>
      </c>
      <c r="EJ22" s="92">
        <v>0</v>
      </c>
      <c r="EK22" s="92">
        <v>0</v>
      </c>
      <c r="EL22" s="92">
        <v>0</v>
      </c>
      <c r="EM22" s="93">
        <v>0</v>
      </c>
      <c r="EN22" s="89"/>
      <c r="EO22" s="67"/>
      <c r="EP22" s="67"/>
      <c r="EQ22" s="78">
        <v>10</v>
      </c>
      <c r="ER22" s="78">
        <v>9</v>
      </c>
      <c r="ES22" s="74">
        <f t="shared" si="47"/>
        <v>0.9</v>
      </c>
      <c r="ET22" s="94">
        <v>0</v>
      </c>
      <c r="EU22" s="94"/>
      <c r="EV22" s="94">
        <v>0</v>
      </c>
      <c r="EW22" s="95">
        <v>0</v>
      </c>
      <c r="EX22" s="87"/>
      <c r="EY22" s="83"/>
      <c r="EZ22" s="83"/>
      <c r="FA22" s="82"/>
      <c r="FB22" s="82"/>
      <c r="FC22" s="74" t="str">
        <f t="shared" si="56"/>
        <v xml:space="preserve"> </v>
      </c>
      <c r="FD22" s="92"/>
      <c r="FE22" s="92"/>
      <c r="FF22" s="92"/>
      <c r="FG22" s="92"/>
      <c r="FH22" s="76">
        <f t="shared" si="57"/>
        <v>0</v>
      </c>
      <c r="FI22" s="89"/>
      <c r="FJ22" s="67"/>
      <c r="FK22" s="67"/>
      <c r="FL22" s="78"/>
      <c r="FM22" s="78"/>
      <c r="FN22" s="74" t="str">
        <f t="shared" si="58"/>
        <v xml:space="preserve"> </v>
      </c>
      <c r="FO22" s="94"/>
      <c r="FP22" s="94"/>
      <c r="FQ22" s="94"/>
      <c r="FR22" s="94"/>
      <c r="FS22" s="76">
        <f t="shared" si="59"/>
        <v>0</v>
      </c>
      <c r="FT22" s="87"/>
      <c r="FU22" s="83"/>
      <c r="FV22" s="83"/>
      <c r="FW22" s="82"/>
      <c r="FX22" s="82"/>
      <c r="FY22" s="74" t="str">
        <f t="shared" si="60"/>
        <v xml:space="preserve"> </v>
      </c>
      <c r="FZ22" s="92"/>
      <c r="GA22" s="92"/>
      <c r="GB22" s="92"/>
      <c r="GC22" s="92"/>
      <c r="GD22" s="76">
        <f t="shared" si="61"/>
        <v>0</v>
      </c>
      <c r="GE22" s="62"/>
      <c r="GF22" s="96" t="s">
        <v>221</v>
      </c>
      <c r="GG22" s="96" t="s">
        <v>221</v>
      </c>
      <c r="GH22" s="63"/>
      <c r="GI22" s="63" t="s">
        <v>221</v>
      </c>
      <c r="GJ22" s="63" t="s">
        <v>221</v>
      </c>
      <c r="GK22" s="97">
        <f t="shared" si="24"/>
        <v>0</v>
      </c>
      <c r="GL22" s="63" t="s">
        <v>221</v>
      </c>
      <c r="GM22" s="98"/>
      <c r="GN22" s="97">
        <f t="shared" si="72"/>
        <v>0</v>
      </c>
      <c r="GO22" s="97" t="str">
        <f t="shared" si="63"/>
        <v xml:space="preserve"> </v>
      </c>
      <c r="GP22" s="62"/>
      <c r="GQ22" s="63" t="s">
        <v>213</v>
      </c>
      <c r="GR22" s="63" t="s">
        <v>213</v>
      </c>
      <c r="GS22" s="63" t="s">
        <v>213</v>
      </c>
      <c r="GT22" s="63" t="s">
        <v>213</v>
      </c>
      <c r="GU22" s="63" t="s">
        <v>337</v>
      </c>
      <c r="GV22" s="63" t="s">
        <v>337</v>
      </c>
      <c r="GW22" s="63" t="s">
        <v>337</v>
      </c>
      <c r="GX22" s="63" t="s">
        <v>334</v>
      </c>
      <c r="GY22" s="65" t="s">
        <v>239</v>
      </c>
      <c r="GZ22" s="65" t="s">
        <v>239</v>
      </c>
      <c r="HA22" s="63" t="s">
        <v>213</v>
      </c>
      <c r="HB22" s="63" t="s">
        <v>213</v>
      </c>
      <c r="HC22" s="63"/>
      <c r="HD22" s="63"/>
      <c r="HE22" s="63"/>
      <c r="HF22" s="63"/>
      <c r="HG22" s="63"/>
      <c r="HH22" s="63"/>
      <c r="HI22" s="63"/>
      <c r="HJ22" s="63"/>
      <c r="HK22" s="63"/>
      <c r="HL22" s="65" t="str">
        <f>IFERROR(IF(OR(IQ22&gt;0,IR22&gt;0,IS22&gt;0),"x",""),"")</f>
        <v/>
      </c>
      <c r="HM22" s="65" t="str">
        <f t="shared" si="66"/>
        <v/>
      </c>
      <c r="HN22" s="65" t="s">
        <v>239</v>
      </c>
      <c r="HO22" s="65" t="str">
        <f>IFERROR(IF(OR(JE22&gt;0,JF22&gt;0,JG22&gt;0,JH22&gt;0),"x",""),"")</f>
        <v/>
      </c>
      <c r="HP22" s="99" t="str">
        <f>IFERROR(IF(OR(JI22&gt;0,JJ22&gt;0,JK22&gt;0),"x",""),"")</f>
        <v/>
      </c>
      <c r="HQ22" s="99" t="s">
        <v>239</v>
      </c>
      <c r="HR22" s="63"/>
      <c r="HS22" s="63"/>
      <c r="HT22" s="63"/>
      <c r="HU22" s="63" t="s">
        <v>213</v>
      </c>
      <c r="HV22" s="63"/>
      <c r="HW22" s="63"/>
      <c r="HX22" s="63"/>
      <c r="HY22" s="63"/>
      <c r="HZ22" s="63"/>
      <c r="IA22" s="63"/>
      <c r="IB22" s="63"/>
      <c r="IC22" s="63"/>
      <c r="ID22" s="96"/>
      <c r="IE22" s="100"/>
      <c r="IF22" s="100"/>
      <c r="IG22" s="100"/>
      <c r="IH22" s="100"/>
      <c r="II22" s="100"/>
      <c r="IJ22" s="100"/>
      <c r="IK22" s="100"/>
      <c r="IL22" s="63" t="s">
        <v>213</v>
      </c>
      <c r="IM22" s="62"/>
      <c r="IN22" s="101"/>
      <c r="IO22" s="101"/>
      <c r="IP22" s="63"/>
      <c r="IQ22" s="63"/>
      <c r="IR22" s="63"/>
      <c r="IS22" s="63"/>
      <c r="IT22" s="63"/>
      <c r="IU22" s="63"/>
      <c r="IV22" s="63"/>
      <c r="IW22" s="63"/>
      <c r="IX22" s="63"/>
      <c r="IY22" s="63"/>
      <c r="IZ22" s="63"/>
      <c r="JA22" s="65">
        <f t="shared" si="48"/>
        <v>0</v>
      </c>
      <c r="JB22" s="63"/>
      <c r="JC22" s="101"/>
      <c r="JD22" s="101"/>
      <c r="JE22" s="63"/>
      <c r="JF22" s="63"/>
      <c r="JG22" s="63"/>
      <c r="JH22" s="63"/>
      <c r="JI22" s="63"/>
      <c r="JJ22" s="63"/>
      <c r="JK22" s="63"/>
      <c r="JL22" s="63"/>
      <c r="JM22" s="63"/>
      <c r="JN22" s="96"/>
      <c r="JO22" s="96"/>
      <c r="JP22" s="65">
        <f t="shared" si="29"/>
        <v>0</v>
      </c>
      <c r="JQ22" s="96"/>
      <c r="LM22" s="205"/>
      <c r="LN22" s="102">
        <f>IFERROR(ROWS($IL$8:IL22)," ")</f>
        <v>15</v>
      </c>
      <c r="LO22" s="103" t="str">
        <f>IFERROR(IF([1]Checklist!$C$3='GenInfo (2)'!E22,'GenInfo (2)'!LN22," ")," ")</f>
        <v xml:space="preserve"> </v>
      </c>
      <c r="LP22" s="104" t="str">
        <f>IFERROR(SMALL($LO$8:$LO$94,ROWS($IL$8:IL22))," ")</f>
        <v xml:space="preserve"> </v>
      </c>
      <c r="LQ22" s="102">
        <f>IFERROR(ROWS($IL$8:IL22)," ")</f>
        <v>15</v>
      </c>
      <c r="LR22" s="103" t="str">
        <f>IFERROR(IF([1]Checklist!$C$4='GenInfo (2)'!E22,'GenInfo (2)'!LQ22," ")," ")</f>
        <v xml:space="preserve"> </v>
      </c>
      <c r="LS22" s="104" t="str">
        <f>IFERROR(SMALL($LR$8:$LR$94,ROWS($IL$8:IL22))," ")</f>
        <v xml:space="preserve"> </v>
      </c>
      <c r="LT22" s="102">
        <f>IFERROR(ROWS($IL$8:IL22)," ")</f>
        <v>15</v>
      </c>
      <c r="LU22" s="103" t="str">
        <f>IFERROR(IF([1]Checklist!$C$5='GenInfo (2)'!E22,'GenInfo (2)'!LT22," ")," ")</f>
        <v xml:space="preserve"> </v>
      </c>
      <c r="LV22" s="104" t="str">
        <f>IFERROR(SMALL($LU$8:$LU$94,ROWS($IL$8:IL22))," ")</f>
        <v xml:space="preserve"> </v>
      </c>
      <c r="LW22" s="102">
        <f>IFERROR(ROWS($IL$8:IL22)," ")</f>
        <v>15</v>
      </c>
      <c r="LX22" s="103" t="str">
        <f>IFERROR(IF([1]Checklist!$C$6='GenInfo (2)'!E22,'GenInfo (2)'!LW22," ")," ")</f>
        <v xml:space="preserve"> </v>
      </c>
      <c r="LY22" s="104" t="str">
        <f>IFERROR(SMALL($LX$8:$LX$94,ROWS($IL$8:IL22))," ")</f>
        <v xml:space="preserve"> </v>
      </c>
      <c r="LZ22" s="102">
        <f>IFERROR(ROWS($IL$8:IL22)," ")</f>
        <v>15</v>
      </c>
      <c r="MA22" s="103">
        <f>IFERROR(IF([1]Checklist!$C$7='GenInfo (2)'!E22,'GenInfo (2)'!LZ22," ")," ")</f>
        <v>15</v>
      </c>
      <c r="MB22" s="104" t="str">
        <f>IFERROR(SMALL($MA$8:$MA$94,ROWS($IL$8:IL22))," ")</f>
        <v xml:space="preserve"> </v>
      </c>
      <c r="MC22" s="102">
        <f>IFERROR(ROWS($IL$8:IL22)," ")</f>
        <v>15</v>
      </c>
      <c r="MD22" s="103" t="str">
        <f>IFERROR(IF([1]Checklist!$C$8='GenInfo (2)'!E22,'GenInfo (2)'!MC22," ")," ")</f>
        <v xml:space="preserve"> </v>
      </c>
      <c r="ME22" s="104" t="str">
        <f>IFERROR(SMALL($MD$8:$MD$94,ROWS($IL$8:IL22))," ")</f>
        <v xml:space="preserve"> </v>
      </c>
      <c r="MF22" s="102">
        <f>IFERROR(ROWS($IL$8:IL22)," ")</f>
        <v>15</v>
      </c>
      <c r="MG22" s="103" t="str">
        <f>IFERROR(IF([1]Checklist!$C$9='GenInfo (2)'!E22,'GenInfo (2)'!MF22," ")," ")</f>
        <v xml:space="preserve"> </v>
      </c>
      <c r="MH22" s="104" t="str">
        <f>IFERROR(SMALL($MG$8:$MG$94,ROWS($IL$8:IL22))," ")</f>
        <v xml:space="preserve"> </v>
      </c>
      <c r="MI22" s="102">
        <f>IFERROR(ROWS($IL$8:$IL22)," ")</f>
        <v>15</v>
      </c>
      <c r="MJ22" s="103" t="str">
        <f>IFERROR(IF([1]Checklist!$C$10='GenInfo (2)'!E22,'GenInfo (2)'!MI22," ")," ")</f>
        <v xml:space="preserve"> </v>
      </c>
      <c r="MK22" s="104" t="str">
        <f>IFERROR(SMALL($MJ$8:$MJ$94,ROWS($IL$8:IL22))," ")</f>
        <v xml:space="preserve"> </v>
      </c>
      <c r="ML22" s="102">
        <f>IFERROR(ROWS($IL$8:IL22)," ")</f>
        <v>15</v>
      </c>
      <c r="MM22" s="103" t="str">
        <f>IFERROR(IF([1]Checklist!$C$11='GenInfo (2)'!E22,'GenInfo (2)'!ML22," ")," ")</f>
        <v xml:space="preserve"> </v>
      </c>
      <c r="MN22" s="104" t="str">
        <f>IFERROR(SMALL($MM$8:$MM$94,ROWS($IL$8:IL22))," ")</f>
        <v xml:space="preserve"> </v>
      </c>
      <c r="MO22" s="102">
        <f>IFERROR(ROWS($IL$8:IL22)," ")</f>
        <v>15</v>
      </c>
      <c r="MP22" s="103" t="str">
        <f>IFERROR(IF([1]Checklist!$C$12='GenInfo (2)'!E22,'GenInfo (2)'!MO22," ")," ")</f>
        <v xml:space="preserve"> </v>
      </c>
      <c r="MQ22" s="104" t="str">
        <f>IFERROR(SMALL($MP$8:$MP$94,ROWS($IL$8:IL22))," ")</f>
        <v xml:space="preserve"> </v>
      </c>
      <c r="MR22" s="102">
        <f>IFERROR(ROWS($IL$8:IL22)," ")</f>
        <v>15</v>
      </c>
      <c r="MS22" s="103" t="str">
        <f>IFERROR(IF([1]Checklist!$C$13='GenInfo (2)'!E22,'GenInfo (2)'!MR22," ")," ")</f>
        <v xml:space="preserve"> </v>
      </c>
      <c r="MT22" s="104" t="str">
        <f>IFERROR(SMALL($MS$8:$MS$94,ROWS($IL$8:IL22))," ")</f>
        <v xml:space="preserve"> </v>
      </c>
      <c r="MU22" s="102">
        <f>IFERROR(ROWS($IL$8:IL22)," ")</f>
        <v>15</v>
      </c>
      <c r="MV22" s="103" t="str">
        <f>IFERROR(IF([1]Checklist!$C$14='GenInfo (2)'!E22,'GenInfo (2)'!MU22," ")," ")</f>
        <v xml:space="preserve"> </v>
      </c>
      <c r="MW22" s="104" t="str">
        <f>IFERROR(SMALL($MV$8:$MV$94,ROWS($IL$8:IL22))," ")</f>
        <v xml:space="preserve"> </v>
      </c>
      <c r="MX22" s="102">
        <f>IFERROR(ROWS($IL$8:IL22)," ")</f>
        <v>15</v>
      </c>
      <c r="MY22" s="103" t="str">
        <f>IFERROR(IF([1]Checklist!$C$15='GenInfo (2)'!E22,'GenInfo (2)'!MX22," ")," ")</f>
        <v xml:space="preserve"> </v>
      </c>
      <c r="MZ22" s="104" t="str">
        <f>IFERROR(SMALL($MY$8:$MY$94,ROWS($IL$8:IL22))," ")</f>
        <v xml:space="preserve"> </v>
      </c>
      <c r="NA22" s="102">
        <f>IFERROR(ROWS($IL$8:IL22)," ")</f>
        <v>15</v>
      </c>
      <c r="NB22" s="103" t="str">
        <f>IFERROR(IF([1]Checklist!$C$16='GenInfo (2)'!E22,'GenInfo (2)'!NA22," ")," ")</f>
        <v xml:space="preserve"> </v>
      </c>
      <c r="NC22" s="104" t="str">
        <f>IFERROR(SMALL($NB$8:$NB$94,ROWS($IL$8:IL22))," ")</f>
        <v xml:space="preserve"> </v>
      </c>
      <c r="ND22" s="102">
        <f>IFERROR(ROWS($IL$8:IL22)," ")</f>
        <v>15</v>
      </c>
      <c r="NE22" s="103" t="str">
        <f>IFERROR(IF([1]Checklist!$C$17='GenInfo (2)'!E22,'GenInfo (2)'!ND22," ")," ")</f>
        <v xml:space="preserve"> </v>
      </c>
      <c r="NF22" s="104" t="str">
        <f>IFERROR(SMALL($NE$8:$NE$94,ROWS($IL$8:IL22))," ")</f>
        <v xml:space="preserve"> </v>
      </c>
    </row>
    <row r="23" spans="1:370" ht="42.75" x14ac:dyDescent="0.45">
      <c r="A23" s="37" t="s">
        <v>213</v>
      </c>
      <c r="B23" s="37">
        <v>103</v>
      </c>
      <c r="C23" s="146" t="s">
        <v>395</v>
      </c>
      <c r="D23" t="s">
        <v>396</v>
      </c>
      <c r="E23" s="106" t="s">
        <v>371</v>
      </c>
      <c r="F23" s="96" t="s">
        <v>397</v>
      </c>
      <c r="G23" s="107" t="s">
        <v>294</v>
      </c>
      <c r="H23" s="96"/>
      <c r="I23" s="131" t="s">
        <v>398</v>
      </c>
      <c r="J23" s="96" t="s">
        <v>399</v>
      </c>
      <c r="K23" s="111"/>
      <c r="L23" s="108">
        <v>43685</v>
      </c>
      <c r="M23" s="108">
        <v>43685</v>
      </c>
      <c r="N23" s="108" t="s">
        <v>213</v>
      </c>
      <c r="O23" s="109">
        <v>43678</v>
      </c>
      <c r="P23" s="108">
        <v>43686</v>
      </c>
      <c r="Q23" s="108">
        <v>43717</v>
      </c>
      <c r="R23" s="96" t="s">
        <v>297</v>
      </c>
      <c r="S23" s="108"/>
      <c r="T23" s="96"/>
      <c r="U23" s="111"/>
      <c r="V23" s="108">
        <v>43716</v>
      </c>
      <c r="W23" s="108">
        <v>43801</v>
      </c>
      <c r="X23" s="110" t="s">
        <v>400</v>
      </c>
      <c r="Y23" s="108">
        <v>43836</v>
      </c>
      <c r="Z23" s="110" t="s">
        <v>400</v>
      </c>
      <c r="AA23" s="111"/>
      <c r="AB23" s="96" t="s">
        <v>401</v>
      </c>
      <c r="AC23" s="96" t="s">
        <v>402</v>
      </c>
      <c r="AD23" s="96" t="s">
        <v>403</v>
      </c>
      <c r="AE23" s="96" t="s">
        <v>226</v>
      </c>
      <c r="AF23" s="96" t="s">
        <v>404</v>
      </c>
      <c r="AG23" s="96"/>
      <c r="AH23" s="96" t="s">
        <v>405</v>
      </c>
      <c r="AI23" s="96" t="s">
        <v>230</v>
      </c>
      <c r="AJ23" s="96">
        <v>60426</v>
      </c>
      <c r="AK23" s="111"/>
      <c r="AL23" s="71">
        <f t="shared" si="36"/>
        <v>19</v>
      </c>
      <c r="AM23" s="71">
        <f t="shared" ref="AM23" ca="1" si="74">IFERROR(DATEDIF($AN23,TODAY(),"y"),"")</f>
        <v>22</v>
      </c>
      <c r="AN23" s="108">
        <v>36473</v>
      </c>
      <c r="AO23" s="72" t="str">
        <f t="shared" ca="1" si="38"/>
        <v/>
      </c>
      <c r="AP23" s="108" t="s">
        <v>231</v>
      </c>
      <c r="AQ23" s="113" t="s">
        <v>232</v>
      </c>
      <c r="AR23" s="107" t="s">
        <v>406</v>
      </c>
      <c r="AS23" s="96">
        <v>1</v>
      </c>
      <c r="AT23" s="96"/>
      <c r="AU23" s="96">
        <v>15</v>
      </c>
      <c r="AV23" s="96">
        <v>10</v>
      </c>
      <c r="AW23" s="96">
        <v>120</v>
      </c>
      <c r="AX23" s="96" t="s">
        <v>234</v>
      </c>
      <c r="AY23" s="96" t="s">
        <v>235</v>
      </c>
      <c r="AZ23" s="96" t="s">
        <v>254</v>
      </c>
      <c r="BA23" s="96" t="s">
        <v>254</v>
      </c>
      <c r="BB23" s="108">
        <v>43791</v>
      </c>
      <c r="BC23" s="96"/>
      <c r="BD23" s="111"/>
      <c r="BE23" s="71">
        <f t="shared" si="39"/>
        <v>4</v>
      </c>
      <c r="BF23" s="71">
        <f t="shared" si="39"/>
        <v>1</v>
      </c>
      <c r="BG23" s="71">
        <f t="shared" si="40"/>
        <v>3</v>
      </c>
      <c r="BH23" s="74">
        <f t="shared" si="41"/>
        <v>0.1388888888888889</v>
      </c>
      <c r="BI23" s="75">
        <f t="shared" si="42"/>
        <v>0.75</v>
      </c>
      <c r="BJ23" s="71">
        <f t="shared" si="43"/>
        <v>0</v>
      </c>
      <c r="BK23" s="75">
        <f t="shared" si="44"/>
        <v>0</v>
      </c>
      <c r="BL23" s="76">
        <f t="shared" si="45"/>
        <v>0</v>
      </c>
      <c r="BM23" s="77">
        <f t="shared" si="45"/>
        <v>0</v>
      </c>
      <c r="BN23" s="114"/>
      <c r="BO23" s="108"/>
      <c r="BP23" s="108"/>
      <c r="BQ23" s="96"/>
      <c r="BR23" s="96"/>
      <c r="BS23" s="74" t="str">
        <f t="shared" si="49"/>
        <v xml:space="preserve"> </v>
      </c>
      <c r="BT23" s="79">
        <v>0</v>
      </c>
      <c r="BU23" s="79">
        <v>0</v>
      </c>
      <c r="BV23" s="80">
        <v>0</v>
      </c>
      <c r="BW23" s="81">
        <v>0</v>
      </c>
      <c r="BX23" s="116"/>
      <c r="BY23" s="121"/>
      <c r="BZ23" s="121"/>
      <c r="CA23" s="118">
        <v>17</v>
      </c>
      <c r="CB23" s="118">
        <v>2</v>
      </c>
      <c r="CC23" s="74">
        <f t="shared" si="50"/>
        <v>0.11764705882352941</v>
      </c>
      <c r="CD23" s="79">
        <v>0</v>
      </c>
      <c r="CE23" s="81">
        <v>0</v>
      </c>
      <c r="CF23" s="119"/>
      <c r="CG23" s="119"/>
      <c r="CH23" s="119"/>
      <c r="CI23" s="114">
        <v>18</v>
      </c>
      <c r="CJ23" s="114">
        <v>10</v>
      </c>
      <c r="CK23" s="74">
        <f t="shared" si="51"/>
        <v>0.55555555555555558</v>
      </c>
      <c r="CL23" s="79">
        <v>0</v>
      </c>
      <c r="CM23" s="79">
        <v>0</v>
      </c>
      <c r="CN23" s="86">
        <v>0</v>
      </c>
      <c r="CO23" s="81">
        <v>0</v>
      </c>
      <c r="CP23" s="120"/>
      <c r="CQ23" s="121"/>
      <c r="CR23" s="121"/>
      <c r="CS23" s="116">
        <v>22</v>
      </c>
      <c r="CT23" s="116">
        <v>0</v>
      </c>
      <c r="CU23" s="74">
        <f t="shared" si="52"/>
        <v>0</v>
      </c>
      <c r="CV23" s="79">
        <v>0</v>
      </c>
      <c r="CW23" s="79">
        <v>0</v>
      </c>
      <c r="CX23" s="88">
        <v>0</v>
      </c>
      <c r="CY23" s="81">
        <v>0</v>
      </c>
      <c r="CZ23" s="122"/>
      <c r="DA23" s="108"/>
      <c r="DB23" s="108"/>
      <c r="DC23" s="114">
        <v>16</v>
      </c>
      <c r="DD23" s="114">
        <v>0</v>
      </c>
      <c r="DE23" s="74">
        <f t="shared" si="53"/>
        <v>0</v>
      </c>
      <c r="DF23" s="79">
        <v>0</v>
      </c>
      <c r="DG23" s="79">
        <v>0</v>
      </c>
      <c r="DH23" s="79">
        <v>0</v>
      </c>
      <c r="DI23" s="81">
        <v>0</v>
      </c>
      <c r="DJ23" s="120"/>
      <c r="DK23" s="121"/>
      <c r="DL23" s="121"/>
      <c r="DM23" s="116">
        <v>15</v>
      </c>
      <c r="DN23" s="116">
        <v>0</v>
      </c>
      <c r="DO23" s="74">
        <f t="shared" si="54"/>
        <v>0</v>
      </c>
      <c r="DP23" s="79">
        <v>0</v>
      </c>
      <c r="DQ23" s="79">
        <v>0</v>
      </c>
      <c r="DR23" s="79">
        <v>0</v>
      </c>
      <c r="DS23" s="81">
        <v>0</v>
      </c>
      <c r="DT23" s="122"/>
      <c r="DU23" s="108"/>
      <c r="DV23" s="108"/>
      <c r="DW23" s="114"/>
      <c r="DX23" s="114"/>
      <c r="DY23" s="74" t="str">
        <f t="shared" si="55"/>
        <v xml:space="preserve"> </v>
      </c>
      <c r="DZ23" s="90">
        <v>0</v>
      </c>
      <c r="EA23" s="90">
        <v>0</v>
      </c>
      <c r="EB23" s="90">
        <v>0</v>
      </c>
      <c r="EC23" s="91">
        <v>0</v>
      </c>
      <c r="ED23" s="120"/>
      <c r="EE23" s="121"/>
      <c r="EF23" s="121"/>
      <c r="EG23" s="116"/>
      <c r="EH23" s="116"/>
      <c r="EI23" s="74" t="str">
        <f t="shared" si="46"/>
        <v xml:space="preserve"> </v>
      </c>
      <c r="EJ23" s="92">
        <v>0</v>
      </c>
      <c r="EK23" s="92">
        <v>0</v>
      </c>
      <c r="EL23" s="92">
        <v>0</v>
      </c>
      <c r="EM23" s="93">
        <v>0</v>
      </c>
      <c r="EN23" s="122"/>
      <c r="EO23" s="108"/>
      <c r="EP23" s="108"/>
      <c r="EQ23" s="114"/>
      <c r="ER23" s="114"/>
      <c r="ES23" s="74" t="str">
        <f t="shared" si="47"/>
        <v xml:space="preserve"> </v>
      </c>
      <c r="ET23" s="94">
        <v>0</v>
      </c>
      <c r="EU23" s="90"/>
      <c r="EV23" s="94">
        <v>0</v>
      </c>
      <c r="EW23" s="95">
        <v>0</v>
      </c>
      <c r="EX23" s="120"/>
      <c r="EY23" s="121"/>
      <c r="EZ23" s="121"/>
      <c r="FA23" s="116"/>
      <c r="FB23" s="116"/>
      <c r="FC23" s="74" t="str">
        <f t="shared" si="56"/>
        <v xml:space="preserve"> </v>
      </c>
      <c r="FD23" s="123"/>
      <c r="FE23" s="123"/>
      <c r="FF23" s="123"/>
      <c r="FG23" s="123"/>
      <c r="FH23" s="76">
        <f t="shared" si="57"/>
        <v>0</v>
      </c>
      <c r="FI23" s="122"/>
      <c r="FJ23" s="108"/>
      <c r="FK23" s="108"/>
      <c r="FL23" s="114"/>
      <c r="FM23" s="114"/>
      <c r="FN23" s="74" t="str">
        <f t="shared" si="58"/>
        <v xml:space="preserve"> </v>
      </c>
      <c r="FO23" s="90"/>
      <c r="FP23" s="90"/>
      <c r="FQ23" s="90"/>
      <c r="FR23" s="90"/>
      <c r="FS23" s="76">
        <f t="shared" si="59"/>
        <v>0</v>
      </c>
      <c r="FT23" s="120"/>
      <c r="FU23" s="121"/>
      <c r="FV23" s="121"/>
      <c r="FW23" s="116"/>
      <c r="FX23" s="116"/>
      <c r="FY23" s="74" t="str">
        <f t="shared" si="60"/>
        <v xml:space="preserve"> </v>
      </c>
      <c r="FZ23" s="123"/>
      <c r="GA23" s="123"/>
      <c r="GB23" s="123"/>
      <c r="GC23" s="123"/>
      <c r="GD23" s="76">
        <f t="shared" si="61"/>
        <v>0</v>
      </c>
      <c r="GE23" s="111"/>
      <c r="GF23" s="96">
        <v>0</v>
      </c>
      <c r="GG23" s="96" t="s">
        <v>234</v>
      </c>
      <c r="GH23" s="96"/>
      <c r="GI23" s="63" t="s">
        <v>221</v>
      </c>
      <c r="GJ23" s="63" t="s">
        <v>221</v>
      </c>
      <c r="GK23" s="97">
        <f t="shared" si="24"/>
        <v>0</v>
      </c>
      <c r="GL23" s="63" t="s">
        <v>221</v>
      </c>
      <c r="GM23" s="79"/>
      <c r="GN23" s="97">
        <f t="shared" si="72"/>
        <v>0</v>
      </c>
      <c r="GO23" s="97">
        <f t="shared" si="63"/>
        <v>0</v>
      </c>
      <c r="GP23" s="111"/>
      <c r="GQ23" s="96" t="s">
        <v>213</v>
      </c>
      <c r="GR23" s="96" t="s">
        <v>213</v>
      </c>
      <c r="GS23" s="96" t="s">
        <v>213</v>
      </c>
      <c r="GT23" s="96" t="s">
        <v>337</v>
      </c>
      <c r="GU23" s="96" t="s">
        <v>213</v>
      </c>
      <c r="GV23" s="96" t="s">
        <v>213</v>
      </c>
      <c r="GW23" s="96" t="s">
        <v>213</v>
      </c>
      <c r="GX23" s="96" t="s">
        <v>238</v>
      </c>
      <c r="GY23" s="65" t="s">
        <v>237</v>
      </c>
      <c r="GZ23" s="65" t="s">
        <v>237</v>
      </c>
      <c r="HA23" s="96" t="s">
        <v>337</v>
      </c>
      <c r="HB23" s="96" t="s">
        <v>237</v>
      </c>
      <c r="HC23" s="96" t="s">
        <v>213</v>
      </c>
      <c r="HD23" s="96" t="s">
        <v>213</v>
      </c>
      <c r="HE23" s="96" t="s">
        <v>213</v>
      </c>
      <c r="HF23" s="96" t="s">
        <v>213</v>
      </c>
      <c r="HG23" s="96" t="s">
        <v>213</v>
      </c>
      <c r="HH23" s="96"/>
      <c r="HI23" s="96"/>
      <c r="HJ23" s="96"/>
      <c r="HK23" s="96"/>
      <c r="HL23" s="65" t="s">
        <v>239</v>
      </c>
      <c r="HM23" s="65" t="str">
        <f t="shared" si="66"/>
        <v/>
      </c>
      <c r="HN23" s="65" t="str">
        <f>IFERROR(IF(OR(IW23&gt;0,IX23&gt;0,IY23&gt;0,IZ23&gt;0),"x",""),"")</f>
        <v/>
      </c>
      <c r="HO23" s="65" t="s">
        <v>239</v>
      </c>
      <c r="HP23" s="65" t="str">
        <f>IFERROR(IF(OR(JI23&gt;0,JJ23&gt;0,JK23&gt;0),"x",""),"")</f>
        <v/>
      </c>
      <c r="HQ23" s="65" t="str">
        <f>IFERROR(IF(OR(JL23&gt;0,JM23&gt;0,JN23&gt;0,JO23&gt;0),"x",""),"")</f>
        <v/>
      </c>
      <c r="HR23" s="96"/>
      <c r="HS23" s="96" t="s">
        <v>213</v>
      </c>
      <c r="HT23" s="96"/>
      <c r="HU23" s="96"/>
      <c r="HV23" s="96"/>
      <c r="HW23" s="96"/>
      <c r="HX23" s="96"/>
      <c r="HY23" s="96"/>
      <c r="HZ23" s="63" t="s">
        <v>239</v>
      </c>
      <c r="IA23" s="96"/>
      <c r="IB23" s="96"/>
      <c r="IC23" s="96" t="s">
        <v>237</v>
      </c>
      <c r="ID23" s="96" t="s">
        <v>240</v>
      </c>
      <c r="IE23" s="96" t="s">
        <v>213</v>
      </c>
      <c r="IF23" s="96" t="s">
        <v>213</v>
      </c>
      <c r="IG23" s="96" t="s">
        <v>213</v>
      </c>
      <c r="IH23" s="96" t="s">
        <v>213</v>
      </c>
      <c r="II23" s="96" t="s">
        <v>213</v>
      </c>
      <c r="IJ23" s="96" t="s">
        <v>213</v>
      </c>
      <c r="IK23" s="96" t="s">
        <v>213</v>
      </c>
      <c r="IL23" s="96"/>
      <c r="IM23" s="111"/>
      <c r="IN23" s="125"/>
      <c r="IO23" s="125"/>
      <c r="IP23" s="96"/>
      <c r="IQ23" s="96"/>
      <c r="IR23" s="96"/>
      <c r="IS23" s="96"/>
      <c r="IT23" s="96"/>
      <c r="IU23" s="96"/>
      <c r="IV23" s="96"/>
      <c r="IW23" s="96"/>
      <c r="IX23" s="96"/>
      <c r="IY23" s="96"/>
      <c r="IZ23" s="96"/>
      <c r="JA23" s="65">
        <f t="shared" si="48"/>
        <v>0</v>
      </c>
      <c r="JB23" s="96"/>
      <c r="JC23" s="125"/>
      <c r="JD23" s="125"/>
      <c r="JE23" s="96"/>
      <c r="JF23" s="96"/>
      <c r="JG23" s="96"/>
      <c r="JH23" s="96"/>
      <c r="JI23" s="96"/>
      <c r="JJ23" s="96"/>
      <c r="JK23" s="96"/>
      <c r="JL23" s="96"/>
      <c r="JM23" s="96"/>
      <c r="JN23" s="63"/>
      <c r="JO23" s="63"/>
      <c r="JP23" s="65">
        <f t="shared" si="29"/>
        <v>0</v>
      </c>
      <c r="JQ23" s="63"/>
      <c r="LM23" s="205"/>
      <c r="LN23" s="102">
        <f>IFERROR(ROWS($IL$8:IL23)," ")</f>
        <v>16</v>
      </c>
      <c r="LO23" s="103" t="str">
        <f>IFERROR(IF([1]Checklist!$C$3='GenInfo (2)'!E23,'GenInfo (2)'!LN23," ")," ")</f>
        <v xml:space="preserve"> </v>
      </c>
      <c r="LP23" s="104" t="str">
        <f>IFERROR(SMALL($LO$8:$LO$94,ROWS($IL$8:IL23))," ")</f>
        <v xml:space="preserve"> </v>
      </c>
      <c r="LQ23" s="102">
        <f>IFERROR(ROWS($IL$8:IL23)," ")</f>
        <v>16</v>
      </c>
      <c r="LR23" s="103" t="str">
        <f>IFERROR(IF([1]Checklist!$C$4='GenInfo (2)'!E23,'GenInfo (2)'!LQ23," ")," ")</f>
        <v xml:space="preserve"> </v>
      </c>
      <c r="LS23" s="104" t="str">
        <f>IFERROR(SMALL($LR$8:$LR$94,ROWS($IL$8:IL23))," ")</f>
        <v xml:space="preserve"> </v>
      </c>
      <c r="LT23" s="102">
        <f>IFERROR(ROWS($IL$8:IL23)," ")</f>
        <v>16</v>
      </c>
      <c r="LU23" s="103" t="str">
        <f>IFERROR(IF([1]Checklist!$C$5='GenInfo (2)'!E23,'GenInfo (2)'!LT23," ")," ")</f>
        <v xml:space="preserve"> </v>
      </c>
      <c r="LV23" s="104" t="str">
        <f>IFERROR(SMALL($LU$8:$LU$94,ROWS($IL$8:IL23))," ")</f>
        <v xml:space="preserve"> </v>
      </c>
      <c r="LW23" s="102">
        <f>IFERROR(ROWS($IL$8:IL23)," ")</f>
        <v>16</v>
      </c>
      <c r="LX23" s="103" t="str">
        <f>IFERROR(IF([1]Checklist!$C$6='GenInfo (2)'!E23,'GenInfo (2)'!LW23," ")," ")</f>
        <v xml:space="preserve"> </v>
      </c>
      <c r="LY23" s="104" t="str">
        <f>IFERROR(SMALL($LX$8:$LX$94,ROWS($IL$8:IL23))," ")</f>
        <v xml:space="preserve"> </v>
      </c>
      <c r="LZ23" s="102">
        <f>IFERROR(ROWS($IL$8:IL23)," ")</f>
        <v>16</v>
      </c>
      <c r="MA23" s="103">
        <f>IFERROR(IF([1]Checklist!$C$7='GenInfo (2)'!E23,'GenInfo (2)'!LZ23," ")," ")</f>
        <v>16</v>
      </c>
      <c r="MB23" s="104" t="str">
        <f>IFERROR(SMALL($MA$8:$MA$94,ROWS($IL$8:IL23))," ")</f>
        <v xml:space="preserve"> </v>
      </c>
      <c r="MC23" s="102">
        <f>IFERROR(ROWS($IL$8:IL23)," ")</f>
        <v>16</v>
      </c>
      <c r="MD23" s="103" t="str">
        <f>IFERROR(IF([1]Checklist!$C$8='GenInfo (2)'!E23,'GenInfo (2)'!MC23," ")," ")</f>
        <v xml:space="preserve"> </v>
      </c>
      <c r="ME23" s="104" t="str">
        <f>IFERROR(SMALL($MD$8:$MD$94,ROWS($IL$8:IL23))," ")</f>
        <v xml:space="preserve"> </v>
      </c>
      <c r="MF23" s="102">
        <f>IFERROR(ROWS($IL$8:IL23)," ")</f>
        <v>16</v>
      </c>
      <c r="MG23" s="103" t="str">
        <f>IFERROR(IF([1]Checklist!$C$9='GenInfo (2)'!E23,'GenInfo (2)'!MF23," ")," ")</f>
        <v xml:space="preserve"> </v>
      </c>
      <c r="MH23" s="104" t="str">
        <f>IFERROR(SMALL($MG$8:$MG$94,ROWS($IL$8:IL23))," ")</f>
        <v xml:space="preserve"> </v>
      </c>
      <c r="MI23" s="102">
        <f>IFERROR(ROWS($IL$8:$IL23)," ")</f>
        <v>16</v>
      </c>
      <c r="MJ23" s="103" t="str">
        <f>IFERROR(IF([1]Checklist!$C$10='GenInfo (2)'!E23,'GenInfo (2)'!MI23," ")," ")</f>
        <v xml:space="preserve"> </v>
      </c>
      <c r="MK23" s="104" t="str">
        <f>IFERROR(SMALL($MJ$8:$MJ$94,ROWS($IL$8:IL23))," ")</f>
        <v xml:space="preserve"> </v>
      </c>
      <c r="ML23" s="102">
        <f>IFERROR(ROWS($IL$8:IL23)," ")</f>
        <v>16</v>
      </c>
      <c r="MM23" s="103" t="str">
        <f>IFERROR(IF([1]Checklist!$C$11='GenInfo (2)'!E23,'GenInfo (2)'!ML23," ")," ")</f>
        <v xml:space="preserve"> </v>
      </c>
      <c r="MN23" s="104" t="str">
        <f>IFERROR(SMALL($MM$8:$MM$94,ROWS($IL$8:IL23))," ")</f>
        <v xml:space="preserve"> </v>
      </c>
      <c r="MO23" s="102">
        <f>IFERROR(ROWS($IL$8:IL23)," ")</f>
        <v>16</v>
      </c>
      <c r="MP23" s="103" t="str">
        <f>IFERROR(IF([1]Checklist!$C$12='GenInfo (2)'!E23,'GenInfo (2)'!MO23," ")," ")</f>
        <v xml:space="preserve"> </v>
      </c>
      <c r="MQ23" s="104" t="str">
        <f>IFERROR(SMALL($MP$8:$MP$94,ROWS($IL$8:IL23))," ")</f>
        <v xml:space="preserve"> </v>
      </c>
      <c r="MR23" s="102">
        <f>IFERROR(ROWS($IL$8:IL23)," ")</f>
        <v>16</v>
      </c>
      <c r="MS23" s="103" t="str">
        <f>IFERROR(IF([1]Checklist!$C$13='GenInfo (2)'!E23,'GenInfo (2)'!MR23," ")," ")</f>
        <v xml:space="preserve"> </v>
      </c>
      <c r="MT23" s="104" t="str">
        <f>IFERROR(SMALL($MS$8:$MS$94,ROWS($IL$8:IL23))," ")</f>
        <v xml:space="preserve"> </v>
      </c>
      <c r="MU23" s="102">
        <f>IFERROR(ROWS($IL$8:IL23)," ")</f>
        <v>16</v>
      </c>
      <c r="MV23" s="103" t="str">
        <f>IFERROR(IF([1]Checklist!$C$14='GenInfo (2)'!E23,'GenInfo (2)'!MU23," ")," ")</f>
        <v xml:space="preserve"> </v>
      </c>
      <c r="MW23" s="104" t="str">
        <f>IFERROR(SMALL($MV$8:$MV$94,ROWS($IL$8:IL23))," ")</f>
        <v xml:space="preserve"> </v>
      </c>
      <c r="MX23" s="102">
        <f>IFERROR(ROWS($IL$8:IL23)," ")</f>
        <v>16</v>
      </c>
      <c r="MY23" s="103" t="str">
        <f>IFERROR(IF([1]Checklist!$C$15='GenInfo (2)'!E23,'GenInfo (2)'!MX23," ")," ")</f>
        <v xml:space="preserve"> </v>
      </c>
      <c r="MZ23" s="104" t="str">
        <f>IFERROR(SMALL($MY$8:$MY$94,ROWS($IL$8:IL23))," ")</f>
        <v xml:space="preserve"> </v>
      </c>
      <c r="NA23" s="102">
        <f>IFERROR(ROWS($IL$8:IL23)," ")</f>
        <v>16</v>
      </c>
      <c r="NB23" s="103" t="str">
        <f>IFERROR(IF([1]Checklist!$C$16='GenInfo (2)'!E23,'GenInfo (2)'!NA23," ")," ")</f>
        <v xml:space="preserve"> </v>
      </c>
      <c r="NC23" s="104" t="str">
        <f>IFERROR(SMALL($NB$8:$NB$94,ROWS($IL$8:IL23))," ")</f>
        <v xml:space="preserve"> </v>
      </c>
      <c r="ND23" s="102">
        <f>IFERROR(ROWS($IL$8:IL23)," ")</f>
        <v>16</v>
      </c>
      <c r="NE23" s="103" t="str">
        <f>IFERROR(IF([1]Checklist!$C$17='GenInfo (2)'!E23,'GenInfo (2)'!ND23," ")," ")</f>
        <v xml:space="preserve"> </v>
      </c>
      <c r="NF23" s="104" t="str">
        <f>IFERROR(SMALL($NE$8:$NE$94,ROWS($IL$8:IL23))," ")</f>
        <v xml:space="preserve"> </v>
      </c>
    </row>
    <row r="24" spans="1:370" ht="28.5" x14ac:dyDescent="0.45">
      <c r="A24" s="37" t="s">
        <v>213</v>
      </c>
      <c r="B24" s="37">
        <v>118</v>
      </c>
      <c r="C24" s="146" t="s">
        <v>407</v>
      </c>
      <c r="D24" t="s">
        <v>408</v>
      </c>
      <c r="E24" s="64" t="s">
        <v>409</v>
      </c>
      <c r="F24" s="63" t="s">
        <v>410</v>
      </c>
      <c r="G24" s="64" t="s">
        <v>411</v>
      </c>
      <c r="H24" s="63"/>
      <c r="I24" s="137" t="s">
        <v>412</v>
      </c>
      <c r="J24" s="63" t="s">
        <v>413</v>
      </c>
      <c r="K24" s="62"/>
      <c r="L24" s="67">
        <v>43865</v>
      </c>
      <c r="M24" s="67">
        <v>43866</v>
      </c>
      <c r="N24" s="67" t="s">
        <v>213</v>
      </c>
      <c r="O24" s="68">
        <v>43862</v>
      </c>
      <c r="P24" s="67">
        <v>43867</v>
      </c>
      <c r="Q24" s="67">
        <v>43896</v>
      </c>
      <c r="R24" s="63"/>
      <c r="S24" s="67"/>
      <c r="T24" s="63"/>
      <c r="U24" s="62"/>
      <c r="V24" s="67">
        <v>43895</v>
      </c>
      <c r="W24" s="67">
        <v>44012</v>
      </c>
      <c r="X24" s="69" t="s">
        <v>414</v>
      </c>
      <c r="Y24" s="63"/>
      <c r="Z24" s="69"/>
      <c r="AA24" s="62"/>
      <c r="AB24" s="63" t="s">
        <v>415</v>
      </c>
      <c r="AC24" s="63" t="s">
        <v>416</v>
      </c>
      <c r="AD24" s="66" t="s">
        <v>417</v>
      </c>
      <c r="AE24" s="63" t="s">
        <v>418</v>
      </c>
      <c r="AF24" s="63" t="s">
        <v>250</v>
      </c>
      <c r="AG24" s="63"/>
      <c r="AH24" s="63" t="s">
        <v>251</v>
      </c>
      <c r="AI24" s="63" t="s">
        <v>230</v>
      </c>
      <c r="AJ24" s="63">
        <v>60652</v>
      </c>
      <c r="AK24" s="62"/>
      <c r="AL24" s="71">
        <f t="shared" si="36"/>
        <v>19</v>
      </c>
      <c r="AM24" s="71">
        <f ca="1">IFERROR(DATEDIF($AN24,TODAY(),"y"),"")</f>
        <v>21</v>
      </c>
      <c r="AN24" s="67">
        <v>36895</v>
      </c>
      <c r="AO24" s="72" t="str">
        <f t="shared" ca="1" si="38"/>
        <v/>
      </c>
      <c r="AP24" s="63" t="s">
        <v>231</v>
      </c>
      <c r="AQ24" s="73" t="s">
        <v>264</v>
      </c>
      <c r="AR24" s="70" t="s">
        <v>233</v>
      </c>
      <c r="AS24" s="63">
        <v>1</v>
      </c>
      <c r="AT24" s="63">
        <v>5</v>
      </c>
      <c r="AU24" s="63">
        <v>15</v>
      </c>
      <c r="AV24" s="63">
        <v>3</v>
      </c>
      <c r="AW24" s="63">
        <v>1</v>
      </c>
      <c r="AX24" s="63" t="s">
        <v>236</v>
      </c>
      <c r="AY24" s="63" t="s">
        <v>265</v>
      </c>
      <c r="AZ24" s="63" t="s">
        <v>235</v>
      </c>
      <c r="BA24" s="63" t="s">
        <v>235</v>
      </c>
      <c r="BB24" s="63"/>
      <c r="BC24" s="63"/>
      <c r="BD24" s="62"/>
      <c r="BE24" s="71">
        <f t="shared" si="39"/>
        <v>0</v>
      </c>
      <c r="BF24" s="71">
        <f t="shared" si="39"/>
        <v>0</v>
      </c>
      <c r="BG24" s="71">
        <f t="shared" si="40"/>
        <v>0</v>
      </c>
      <c r="BH24" s="74" t="str">
        <f t="shared" si="41"/>
        <v xml:space="preserve"> </v>
      </c>
      <c r="BI24" s="75" t="str">
        <f t="shared" si="42"/>
        <v xml:space="preserve"> </v>
      </c>
      <c r="BJ24" s="71">
        <f t="shared" si="43"/>
        <v>0</v>
      </c>
      <c r="BK24" s="75" t="str">
        <f t="shared" si="44"/>
        <v xml:space="preserve"> </v>
      </c>
      <c r="BL24" s="76">
        <f t="shared" si="45"/>
        <v>0</v>
      </c>
      <c r="BM24" s="77">
        <f t="shared" si="45"/>
        <v>0</v>
      </c>
      <c r="BN24" s="78"/>
      <c r="BO24" s="67"/>
      <c r="BP24" s="67"/>
      <c r="BQ24" s="63"/>
      <c r="BR24" s="63"/>
      <c r="BS24" s="74" t="str">
        <f t="shared" si="49"/>
        <v xml:space="preserve"> </v>
      </c>
      <c r="BT24" s="79" t="s">
        <v>221</v>
      </c>
      <c r="BU24" s="79" t="s">
        <v>221</v>
      </c>
      <c r="BV24" s="80">
        <v>0</v>
      </c>
      <c r="BW24" s="81">
        <v>0</v>
      </c>
      <c r="BX24" s="82"/>
      <c r="BY24" s="83"/>
      <c r="BZ24" s="83"/>
      <c r="CA24" s="84"/>
      <c r="CB24" s="84"/>
      <c r="CC24" s="74" t="str">
        <f t="shared" si="50"/>
        <v xml:space="preserve"> </v>
      </c>
      <c r="CD24" s="79" t="s">
        <v>221</v>
      </c>
      <c r="CE24" s="81">
        <v>0</v>
      </c>
      <c r="CF24" s="85"/>
      <c r="CG24" s="85"/>
      <c r="CH24" s="85"/>
      <c r="CI24" s="78"/>
      <c r="CJ24" s="78"/>
      <c r="CK24" s="74" t="str">
        <f t="shared" si="51"/>
        <v xml:space="preserve"> </v>
      </c>
      <c r="CL24" s="79" t="s">
        <v>221</v>
      </c>
      <c r="CM24" s="79" t="s">
        <v>221</v>
      </c>
      <c r="CN24" s="86" t="s">
        <v>221</v>
      </c>
      <c r="CO24" s="81">
        <v>0</v>
      </c>
      <c r="CP24" s="87"/>
      <c r="CQ24" s="83"/>
      <c r="CR24" s="83"/>
      <c r="CS24" s="82"/>
      <c r="CT24" s="82"/>
      <c r="CU24" s="74" t="str">
        <f t="shared" si="52"/>
        <v xml:space="preserve"> </v>
      </c>
      <c r="CV24" s="79" t="s">
        <v>221</v>
      </c>
      <c r="CW24" s="79" t="s">
        <v>221</v>
      </c>
      <c r="CX24" s="88" t="s">
        <v>221</v>
      </c>
      <c r="CY24" s="81">
        <v>0</v>
      </c>
      <c r="CZ24" s="89"/>
      <c r="DA24" s="67"/>
      <c r="DB24" s="67"/>
      <c r="DC24" s="78"/>
      <c r="DD24" s="78"/>
      <c r="DE24" s="74" t="str">
        <f t="shared" si="53"/>
        <v xml:space="preserve"> </v>
      </c>
      <c r="DF24" s="79" t="s">
        <v>221</v>
      </c>
      <c r="DG24" s="79" t="s">
        <v>221</v>
      </c>
      <c r="DH24" s="79" t="s">
        <v>221</v>
      </c>
      <c r="DI24" s="81">
        <v>0</v>
      </c>
      <c r="DJ24" s="87"/>
      <c r="DK24" s="83"/>
      <c r="DL24" s="83"/>
      <c r="DM24" s="82"/>
      <c r="DN24" s="82"/>
      <c r="DO24" s="74" t="str">
        <f t="shared" si="54"/>
        <v xml:space="preserve"> </v>
      </c>
      <c r="DP24" s="79" t="s">
        <v>221</v>
      </c>
      <c r="DQ24" s="79" t="s">
        <v>221</v>
      </c>
      <c r="DR24" s="79" t="s">
        <v>221</v>
      </c>
      <c r="DS24" s="81">
        <v>0</v>
      </c>
      <c r="DT24" s="89"/>
      <c r="DU24" s="67"/>
      <c r="DV24" s="67"/>
      <c r="DW24" s="78"/>
      <c r="DX24" s="78"/>
      <c r="DY24" s="74" t="str">
        <f t="shared" si="55"/>
        <v xml:space="preserve"> </v>
      </c>
      <c r="DZ24" s="90">
        <v>0</v>
      </c>
      <c r="EA24" s="90">
        <v>0</v>
      </c>
      <c r="EB24" s="90">
        <v>0</v>
      </c>
      <c r="EC24" s="91">
        <v>0</v>
      </c>
      <c r="ED24" s="87"/>
      <c r="EE24" s="83"/>
      <c r="EF24" s="83"/>
      <c r="EG24" s="82"/>
      <c r="EH24" s="82"/>
      <c r="EI24" s="74" t="str">
        <f t="shared" si="46"/>
        <v xml:space="preserve"> </v>
      </c>
      <c r="EJ24" s="92">
        <v>0</v>
      </c>
      <c r="EK24" s="92">
        <v>0</v>
      </c>
      <c r="EL24" s="92">
        <v>0</v>
      </c>
      <c r="EM24" s="93">
        <v>0</v>
      </c>
      <c r="EN24" s="89"/>
      <c r="EO24" s="67"/>
      <c r="EP24" s="67"/>
      <c r="EQ24" s="78">
        <v>8</v>
      </c>
      <c r="ER24" s="78">
        <v>5</v>
      </c>
      <c r="ES24" s="74">
        <f t="shared" si="47"/>
        <v>0.625</v>
      </c>
      <c r="ET24" s="94">
        <v>0</v>
      </c>
      <c r="EU24" s="94"/>
      <c r="EV24" s="94">
        <v>0</v>
      </c>
      <c r="EW24" s="95">
        <v>0</v>
      </c>
      <c r="EX24" s="87"/>
      <c r="EY24" s="83"/>
      <c r="EZ24" s="83"/>
      <c r="FA24" s="82"/>
      <c r="FB24" s="82"/>
      <c r="FC24" s="74" t="str">
        <f t="shared" si="56"/>
        <v xml:space="preserve"> </v>
      </c>
      <c r="FD24" s="92"/>
      <c r="FE24" s="92"/>
      <c r="FF24" s="92"/>
      <c r="FG24" s="92"/>
      <c r="FH24" s="76">
        <f t="shared" si="57"/>
        <v>0</v>
      </c>
      <c r="FI24" s="89"/>
      <c r="FJ24" s="67"/>
      <c r="FK24" s="67"/>
      <c r="FL24" s="78"/>
      <c r="FM24" s="78"/>
      <c r="FN24" s="74" t="str">
        <f t="shared" si="58"/>
        <v xml:space="preserve"> </v>
      </c>
      <c r="FO24" s="94"/>
      <c r="FP24" s="94"/>
      <c r="FQ24" s="94"/>
      <c r="FR24" s="94"/>
      <c r="FS24" s="76">
        <f t="shared" si="59"/>
        <v>0</v>
      </c>
      <c r="FT24" s="87"/>
      <c r="FU24" s="83"/>
      <c r="FV24" s="83"/>
      <c r="FW24" s="82"/>
      <c r="FX24" s="82"/>
      <c r="FY24" s="74" t="str">
        <f t="shared" si="60"/>
        <v xml:space="preserve"> </v>
      </c>
      <c r="FZ24" s="92"/>
      <c r="GA24" s="92"/>
      <c r="GB24" s="92"/>
      <c r="GC24" s="92"/>
      <c r="GD24" s="76">
        <f t="shared" si="61"/>
        <v>0</v>
      </c>
      <c r="GE24" s="62"/>
      <c r="GF24" s="96" t="s">
        <v>221</v>
      </c>
      <c r="GG24" s="96" t="s">
        <v>221</v>
      </c>
      <c r="GH24" s="63"/>
      <c r="GI24" s="63" t="s">
        <v>221</v>
      </c>
      <c r="GJ24" s="63" t="s">
        <v>221</v>
      </c>
      <c r="GK24" s="97">
        <f t="shared" si="24"/>
        <v>0</v>
      </c>
      <c r="GL24" s="63" t="s">
        <v>221</v>
      </c>
      <c r="GM24" s="98"/>
      <c r="GN24" s="97">
        <f t="shared" si="72"/>
        <v>0</v>
      </c>
      <c r="GO24" s="97" t="str">
        <f t="shared" si="63"/>
        <v xml:space="preserve"> </v>
      </c>
      <c r="GP24" s="62"/>
      <c r="GQ24" s="63" t="s">
        <v>213</v>
      </c>
      <c r="GR24" s="63" t="s">
        <v>213</v>
      </c>
      <c r="GS24" s="63" t="s">
        <v>213</v>
      </c>
      <c r="GT24" s="63" t="s">
        <v>213</v>
      </c>
      <c r="GU24" s="63" t="s">
        <v>213</v>
      </c>
      <c r="GV24" s="63" t="s">
        <v>237</v>
      </c>
      <c r="GW24" s="63" t="s">
        <v>237</v>
      </c>
      <c r="GX24" s="63" t="s">
        <v>213</v>
      </c>
      <c r="GY24" s="65" t="s">
        <v>239</v>
      </c>
      <c r="GZ24" s="65" t="s">
        <v>239</v>
      </c>
      <c r="HA24" s="63" t="s">
        <v>213</v>
      </c>
      <c r="HB24" s="63" t="s">
        <v>213</v>
      </c>
      <c r="HC24" s="63"/>
      <c r="HD24" s="63"/>
      <c r="HE24" s="63"/>
      <c r="HF24" s="63"/>
      <c r="HG24" s="63" t="s">
        <v>237</v>
      </c>
      <c r="HH24" s="63"/>
      <c r="HI24" s="63"/>
      <c r="HJ24" s="63"/>
      <c r="HK24" s="63"/>
      <c r="HL24" s="65" t="str">
        <f t="shared" ref="HL24:HL26" si="75">IFERROR(IF(OR(IQ24&gt;0,IR24&gt;0,IS24&gt;0),"x",""),"")</f>
        <v/>
      </c>
      <c r="HM24" s="65" t="str">
        <f t="shared" si="66"/>
        <v/>
      </c>
      <c r="HN24" s="65" t="s">
        <v>239</v>
      </c>
      <c r="HO24" s="65" t="str">
        <f t="shared" ref="HO24:HO26" si="76">IFERROR(IF(OR(JE24&gt;0,JF24&gt;0,JG24&gt;0,JH24&gt;0),"x",""),"")</f>
        <v/>
      </c>
      <c r="HP24" s="99" t="str">
        <f t="shared" ref="HP24:HP26" si="77">IFERROR(IF(OR(JI24&gt;0,JJ24&gt;0,JK24&gt;0),"x",""),"")</f>
        <v/>
      </c>
      <c r="HQ24" s="99" t="s">
        <v>239</v>
      </c>
      <c r="HR24" s="63"/>
      <c r="HS24" s="63"/>
      <c r="HT24" s="63"/>
      <c r="HU24" s="63" t="s">
        <v>213</v>
      </c>
      <c r="HV24" s="63"/>
      <c r="HW24" s="63"/>
      <c r="HX24" s="63"/>
      <c r="HY24" s="63"/>
      <c r="HZ24" s="63"/>
      <c r="IA24" s="63"/>
      <c r="IB24" s="63"/>
      <c r="IC24" s="63" t="s">
        <v>237</v>
      </c>
      <c r="ID24" s="96"/>
      <c r="IE24" s="63" t="s">
        <v>213</v>
      </c>
      <c r="IF24" s="63" t="s">
        <v>213</v>
      </c>
      <c r="IG24" s="63" t="s">
        <v>213</v>
      </c>
      <c r="IH24" s="63" t="s">
        <v>213</v>
      </c>
      <c r="II24" s="63" t="s">
        <v>213</v>
      </c>
      <c r="IJ24" s="63" t="s">
        <v>213</v>
      </c>
      <c r="IK24" s="63" t="s">
        <v>213</v>
      </c>
      <c r="IL24" s="63"/>
      <c r="IM24" s="62"/>
      <c r="IN24" s="101"/>
      <c r="IO24" s="101"/>
      <c r="IP24" s="63"/>
      <c r="IQ24" s="63"/>
      <c r="IR24" s="63"/>
      <c r="IS24" s="63"/>
      <c r="IT24" s="63"/>
      <c r="IU24" s="63"/>
      <c r="IV24" s="63"/>
      <c r="IW24" s="63"/>
      <c r="IX24" s="63"/>
      <c r="IY24" s="63"/>
      <c r="IZ24" s="63"/>
      <c r="JA24" s="65">
        <f t="shared" si="48"/>
        <v>0</v>
      </c>
      <c r="JB24" s="63"/>
      <c r="JC24" s="101"/>
      <c r="JD24" s="101"/>
      <c r="JE24" s="63"/>
      <c r="JF24" s="63"/>
      <c r="JG24" s="63"/>
      <c r="JH24" s="63"/>
      <c r="JI24" s="63"/>
      <c r="JJ24" s="63"/>
      <c r="JK24" s="63"/>
      <c r="JL24" s="63"/>
      <c r="JM24" s="63"/>
      <c r="JN24" s="63"/>
      <c r="JO24" s="63"/>
      <c r="JP24" s="65">
        <f t="shared" si="29"/>
        <v>0</v>
      </c>
      <c r="JQ24" s="63"/>
      <c r="LM24" s="205"/>
      <c r="LN24" s="102">
        <f>IFERROR(ROWS($IL$8:IL24)," ")</f>
        <v>17</v>
      </c>
      <c r="LO24" s="103" t="str">
        <f>IFERROR(IF([1]Checklist!$C$3='GenInfo (2)'!E24,'GenInfo (2)'!LN24," ")," ")</f>
        <v xml:space="preserve"> </v>
      </c>
      <c r="LP24" s="104" t="str">
        <f>IFERROR(SMALL($LO$8:$LO$94,ROWS($IL$8:IL24))," ")</f>
        <v xml:space="preserve"> </v>
      </c>
      <c r="LQ24" s="102">
        <f>IFERROR(ROWS($IL$8:IL24)," ")</f>
        <v>17</v>
      </c>
      <c r="LR24" s="103" t="str">
        <f>IFERROR(IF([1]Checklist!$C$4='GenInfo (2)'!E24,'GenInfo (2)'!LQ24," ")," ")</f>
        <v xml:space="preserve"> </v>
      </c>
      <c r="LS24" s="104" t="str">
        <f>IFERROR(SMALL($LR$8:$LR$94,ROWS($IL$8:IL24))," ")</f>
        <v xml:space="preserve"> </v>
      </c>
      <c r="LT24" s="102">
        <f>IFERROR(ROWS($IL$8:IL24)," ")</f>
        <v>17</v>
      </c>
      <c r="LU24" s="103" t="str">
        <f>IFERROR(IF([1]Checklist!$C$5='GenInfo (2)'!E24,'GenInfo (2)'!LT24," ")," ")</f>
        <v xml:space="preserve"> </v>
      </c>
      <c r="LV24" s="104" t="str">
        <f>IFERROR(SMALL($LU$8:$LU$94,ROWS($IL$8:IL24))," ")</f>
        <v xml:space="preserve"> </v>
      </c>
      <c r="LW24" s="102">
        <f>IFERROR(ROWS($IL$8:IL24)," ")</f>
        <v>17</v>
      </c>
      <c r="LX24" s="103" t="str">
        <f>IFERROR(IF([1]Checklist!$C$6='GenInfo (2)'!E24,'GenInfo (2)'!LW24," ")," ")</f>
        <v xml:space="preserve"> </v>
      </c>
      <c r="LY24" s="104" t="str">
        <f>IFERROR(SMALL($LX$8:$LX$94,ROWS($IL$8:IL24))," ")</f>
        <v xml:space="preserve"> </v>
      </c>
      <c r="LZ24" s="102">
        <f>IFERROR(ROWS($IL$8:IL24)," ")</f>
        <v>17</v>
      </c>
      <c r="MA24" s="103" t="str">
        <f>IFERROR(IF([1]Checklist!$C$7='GenInfo (2)'!E24,'GenInfo (2)'!LZ24," ")," ")</f>
        <v xml:space="preserve"> </v>
      </c>
      <c r="MB24" s="104" t="str">
        <f>IFERROR(SMALL($MA$8:$MA$94,ROWS($IL$8:IL24))," ")</f>
        <v xml:space="preserve"> </v>
      </c>
      <c r="MC24" s="102">
        <f>IFERROR(ROWS($IL$8:IL24)," ")</f>
        <v>17</v>
      </c>
      <c r="MD24" s="103">
        <f>IFERROR(IF([1]Checklist!$C$8='GenInfo (2)'!E24,'GenInfo (2)'!MC24," ")," ")</f>
        <v>17</v>
      </c>
      <c r="ME24" s="104" t="str">
        <f>IFERROR(SMALL($MD$8:$MD$94,ROWS($IL$8:IL24))," ")</f>
        <v xml:space="preserve"> </v>
      </c>
      <c r="MF24" s="102">
        <f>IFERROR(ROWS($IL$8:IL24)," ")</f>
        <v>17</v>
      </c>
      <c r="MG24" s="103" t="str">
        <f>IFERROR(IF([1]Checklist!$C$9='GenInfo (2)'!E24,'GenInfo (2)'!MF24," ")," ")</f>
        <v xml:space="preserve"> </v>
      </c>
      <c r="MH24" s="104" t="str">
        <f>IFERROR(SMALL($MG$8:$MG$94,ROWS($IL$8:IL24))," ")</f>
        <v xml:space="preserve"> </v>
      </c>
      <c r="MI24" s="102">
        <f>IFERROR(ROWS($IL$8:$IL24)," ")</f>
        <v>17</v>
      </c>
      <c r="MJ24" s="103" t="str">
        <f>IFERROR(IF([1]Checklist!$C$10='GenInfo (2)'!E24,'GenInfo (2)'!MI24," ")," ")</f>
        <v xml:space="preserve"> </v>
      </c>
      <c r="MK24" s="104" t="str">
        <f>IFERROR(SMALL($MJ$8:$MJ$94,ROWS($IL$8:IL24))," ")</f>
        <v xml:space="preserve"> </v>
      </c>
      <c r="ML24" s="102">
        <f>IFERROR(ROWS($IL$8:IL24)," ")</f>
        <v>17</v>
      </c>
      <c r="MM24" s="103" t="str">
        <f>IFERROR(IF([1]Checklist!$C$11='GenInfo (2)'!E24,'GenInfo (2)'!ML24," ")," ")</f>
        <v xml:space="preserve"> </v>
      </c>
      <c r="MN24" s="104" t="str">
        <f>IFERROR(SMALL($MM$8:$MM$94,ROWS($IL$8:IL24))," ")</f>
        <v xml:space="preserve"> </v>
      </c>
      <c r="MO24" s="102">
        <f>IFERROR(ROWS($IL$8:IL24)," ")</f>
        <v>17</v>
      </c>
      <c r="MP24" s="103" t="str">
        <f>IFERROR(IF([1]Checklist!$C$12='GenInfo (2)'!E24,'GenInfo (2)'!MO24," ")," ")</f>
        <v xml:space="preserve"> </v>
      </c>
      <c r="MQ24" s="104" t="str">
        <f>IFERROR(SMALL($MP$8:$MP$94,ROWS($IL$8:IL24))," ")</f>
        <v xml:space="preserve"> </v>
      </c>
      <c r="MR24" s="102">
        <f>IFERROR(ROWS($IL$8:IL24)," ")</f>
        <v>17</v>
      </c>
      <c r="MS24" s="103" t="str">
        <f>IFERROR(IF([1]Checklist!$C$13='GenInfo (2)'!E24,'GenInfo (2)'!MR24," ")," ")</f>
        <v xml:space="preserve"> </v>
      </c>
      <c r="MT24" s="104" t="str">
        <f>IFERROR(SMALL($MS$8:$MS$94,ROWS($IL$8:IL24))," ")</f>
        <v xml:space="preserve"> </v>
      </c>
      <c r="MU24" s="102">
        <f>IFERROR(ROWS($IL$8:IL24)," ")</f>
        <v>17</v>
      </c>
      <c r="MV24" s="103" t="str">
        <f>IFERROR(IF([1]Checklist!$C$14='GenInfo (2)'!E24,'GenInfo (2)'!MU24," ")," ")</f>
        <v xml:space="preserve"> </v>
      </c>
      <c r="MW24" s="104" t="str">
        <f>IFERROR(SMALL($MV$8:$MV$94,ROWS($IL$8:IL24))," ")</f>
        <v xml:space="preserve"> </v>
      </c>
      <c r="MX24" s="102">
        <f>IFERROR(ROWS($IL$8:IL24)," ")</f>
        <v>17</v>
      </c>
      <c r="MY24" s="103" t="str">
        <f>IFERROR(IF([1]Checklist!$C$15='GenInfo (2)'!E24,'GenInfo (2)'!MX24," ")," ")</f>
        <v xml:space="preserve"> </v>
      </c>
      <c r="MZ24" s="104" t="str">
        <f>IFERROR(SMALL($MY$8:$MY$94,ROWS($IL$8:IL24))," ")</f>
        <v xml:space="preserve"> </v>
      </c>
      <c r="NA24" s="102">
        <f>IFERROR(ROWS($IL$8:IL24)," ")</f>
        <v>17</v>
      </c>
      <c r="NB24" s="103" t="str">
        <f>IFERROR(IF([1]Checklist!$C$16='GenInfo (2)'!E24,'GenInfo (2)'!NA24," ")," ")</f>
        <v xml:space="preserve"> </v>
      </c>
      <c r="NC24" s="104" t="str">
        <f>IFERROR(SMALL($NB$8:$NB$94,ROWS($IL$8:IL24))," ")</f>
        <v xml:space="preserve"> </v>
      </c>
      <c r="ND24" s="102">
        <f>IFERROR(ROWS($IL$8:IL24)," ")</f>
        <v>17</v>
      </c>
      <c r="NE24" s="103" t="str">
        <f>IFERROR(IF([1]Checklist!$C$17='GenInfo (2)'!E24,'GenInfo (2)'!ND24," ")," ")</f>
        <v xml:space="preserve"> </v>
      </c>
      <c r="NF24" s="104" t="str">
        <f>IFERROR(SMALL($NE$8:$NE$94,ROWS($IL$8:IL24))," ")</f>
        <v xml:space="preserve"> </v>
      </c>
    </row>
    <row r="25" spans="1:370" ht="14.25" x14ac:dyDescent="0.45">
      <c r="A25" s="37" t="s">
        <v>213</v>
      </c>
      <c r="B25" s="37">
        <v>125</v>
      </c>
      <c r="C25" s="146" t="s">
        <v>419</v>
      </c>
      <c r="D25" t="s">
        <v>420</v>
      </c>
      <c r="E25" s="64" t="s">
        <v>421</v>
      </c>
      <c r="F25" s="63"/>
      <c r="G25" s="64" t="s">
        <v>422</v>
      </c>
      <c r="H25" s="63"/>
      <c r="I25" s="137" t="s">
        <v>423</v>
      </c>
      <c r="J25" s="63" t="s">
        <v>424</v>
      </c>
      <c r="K25" s="62"/>
      <c r="L25" s="67">
        <v>43885</v>
      </c>
      <c r="M25" s="67"/>
      <c r="N25" s="67"/>
      <c r="O25" s="68"/>
      <c r="P25" s="67"/>
      <c r="Q25" s="67"/>
      <c r="R25" s="63" t="s">
        <v>422</v>
      </c>
      <c r="S25" s="67"/>
      <c r="T25" s="63" t="s">
        <v>425</v>
      </c>
      <c r="U25" s="62"/>
      <c r="V25" s="63"/>
      <c r="W25" s="63"/>
      <c r="X25" s="69"/>
      <c r="Y25" s="63"/>
      <c r="Z25" s="69"/>
      <c r="AA25" s="62"/>
      <c r="AB25" s="63"/>
      <c r="AC25" s="63"/>
      <c r="AD25" s="63"/>
      <c r="AE25" s="63"/>
      <c r="AF25" s="63"/>
      <c r="AG25" s="63"/>
      <c r="AH25" s="63"/>
      <c r="AI25" s="63"/>
      <c r="AJ25" s="63"/>
      <c r="AK25" s="62"/>
      <c r="AL25" s="71">
        <f t="shared" si="36"/>
        <v>0</v>
      </c>
      <c r="AM25" s="71">
        <f t="shared" ref="AM25:AM28" ca="1" si="78">IFERROR(DATEDIF($AN25,TODAY(),"y"),"")</f>
        <v>122</v>
      </c>
      <c r="AN25" s="63"/>
      <c r="AO25" s="72" t="str">
        <f t="shared" ca="1" si="38"/>
        <v/>
      </c>
      <c r="AP25" s="63"/>
      <c r="AQ25" s="73" t="s">
        <v>264</v>
      </c>
      <c r="AR25" s="70" t="s">
        <v>426</v>
      </c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2"/>
      <c r="BE25" s="71">
        <f t="shared" si="39"/>
        <v>0</v>
      </c>
      <c r="BF25" s="71">
        <f t="shared" si="39"/>
        <v>0</v>
      </c>
      <c r="BG25" s="71">
        <f t="shared" si="40"/>
        <v>0</v>
      </c>
      <c r="BH25" s="74" t="str">
        <f t="shared" si="41"/>
        <v xml:space="preserve"> </v>
      </c>
      <c r="BI25" s="75" t="str">
        <f t="shared" si="42"/>
        <v xml:space="preserve"> </v>
      </c>
      <c r="BJ25" s="71">
        <f t="shared" si="43"/>
        <v>0</v>
      </c>
      <c r="BK25" s="75" t="str">
        <f t="shared" si="44"/>
        <v xml:space="preserve"> </v>
      </c>
      <c r="BL25" s="76">
        <f t="shared" si="45"/>
        <v>0</v>
      </c>
      <c r="BM25" s="77">
        <f t="shared" si="45"/>
        <v>0</v>
      </c>
      <c r="BN25" s="78"/>
      <c r="BO25" s="67"/>
      <c r="BP25" s="67"/>
      <c r="BQ25" s="63"/>
      <c r="BR25" s="63"/>
      <c r="BS25" s="74" t="str">
        <f t="shared" si="49"/>
        <v xml:space="preserve"> </v>
      </c>
      <c r="BT25" s="79" t="s">
        <v>221</v>
      </c>
      <c r="BU25" s="79" t="s">
        <v>221</v>
      </c>
      <c r="BV25" s="80">
        <v>0</v>
      </c>
      <c r="BW25" s="81">
        <v>0</v>
      </c>
      <c r="BX25" s="82"/>
      <c r="BY25" s="83"/>
      <c r="BZ25" s="83"/>
      <c r="CA25" s="84"/>
      <c r="CB25" s="84"/>
      <c r="CC25" s="74" t="str">
        <f t="shared" si="50"/>
        <v xml:space="preserve"> </v>
      </c>
      <c r="CD25" s="79" t="s">
        <v>221</v>
      </c>
      <c r="CE25" s="81">
        <v>0</v>
      </c>
      <c r="CF25" s="85"/>
      <c r="CG25" s="85"/>
      <c r="CH25" s="85"/>
      <c r="CI25" s="78"/>
      <c r="CJ25" s="78"/>
      <c r="CK25" s="74" t="str">
        <f t="shared" si="51"/>
        <v xml:space="preserve"> </v>
      </c>
      <c r="CL25" s="79" t="s">
        <v>221</v>
      </c>
      <c r="CM25" s="79" t="s">
        <v>221</v>
      </c>
      <c r="CN25" s="86" t="s">
        <v>221</v>
      </c>
      <c r="CO25" s="81">
        <v>0</v>
      </c>
      <c r="CP25" s="87"/>
      <c r="CQ25" s="83"/>
      <c r="CR25" s="83"/>
      <c r="CS25" s="82"/>
      <c r="CT25" s="82"/>
      <c r="CU25" s="74" t="str">
        <f t="shared" si="52"/>
        <v xml:space="preserve"> </v>
      </c>
      <c r="CV25" s="79" t="s">
        <v>221</v>
      </c>
      <c r="CW25" s="79" t="s">
        <v>221</v>
      </c>
      <c r="CX25" s="88" t="s">
        <v>221</v>
      </c>
      <c r="CY25" s="81">
        <v>0</v>
      </c>
      <c r="CZ25" s="89"/>
      <c r="DA25" s="67"/>
      <c r="DB25" s="67"/>
      <c r="DC25" s="78"/>
      <c r="DD25" s="78"/>
      <c r="DE25" s="74" t="str">
        <f t="shared" si="53"/>
        <v xml:space="preserve"> </v>
      </c>
      <c r="DF25" s="79" t="s">
        <v>221</v>
      </c>
      <c r="DG25" s="79" t="s">
        <v>221</v>
      </c>
      <c r="DH25" s="79" t="s">
        <v>221</v>
      </c>
      <c r="DI25" s="81">
        <v>0</v>
      </c>
      <c r="DJ25" s="87"/>
      <c r="DK25" s="83"/>
      <c r="DL25" s="83"/>
      <c r="DM25" s="82"/>
      <c r="DN25" s="82"/>
      <c r="DO25" s="74" t="str">
        <f t="shared" si="54"/>
        <v xml:space="preserve"> </v>
      </c>
      <c r="DP25" s="79" t="s">
        <v>221</v>
      </c>
      <c r="DQ25" s="79" t="s">
        <v>221</v>
      </c>
      <c r="DR25" s="79" t="s">
        <v>221</v>
      </c>
      <c r="DS25" s="81">
        <v>0</v>
      </c>
      <c r="DT25" s="89"/>
      <c r="DU25" s="67"/>
      <c r="DV25" s="67"/>
      <c r="DW25" s="78"/>
      <c r="DX25" s="78"/>
      <c r="DY25" s="74" t="str">
        <f t="shared" si="55"/>
        <v xml:space="preserve"> </v>
      </c>
      <c r="DZ25" s="90">
        <v>0</v>
      </c>
      <c r="EA25" s="90">
        <v>0</v>
      </c>
      <c r="EB25" s="90">
        <v>0</v>
      </c>
      <c r="EC25" s="91">
        <v>0</v>
      </c>
      <c r="ED25" s="87"/>
      <c r="EE25" s="83"/>
      <c r="EF25" s="83"/>
      <c r="EG25" s="82"/>
      <c r="EH25" s="82"/>
      <c r="EI25" s="74" t="str">
        <f t="shared" si="46"/>
        <v xml:space="preserve"> </v>
      </c>
      <c r="EJ25" s="92">
        <v>0</v>
      </c>
      <c r="EK25" s="92">
        <v>0</v>
      </c>
      <c r="EL25" s="92">
        <v>0</v>
      </c>
      <c r="EM25" s="93">
        <v>0</v>
      </c>
      <c r="EN25" s="89"/>
      <c r="EO25" s="67"/>
      <c r="EP25" s="67"/>
      <c r="EQ25" s="78"/>
      <c r="ER25" s="78"/>
      <c r="ES25" s="74" t="str">
        <f t="shared" si="47"/>
        <v xml:space="preserve"> </v>
      </c>
      <c r="ET25" s="94">
        <v>0</v>
      </c>
      <c r="EU25" s="94"/>
      <c r="EV25" s="94">
        <v>0</v>
      </c>
      <c r="EW25" s="95">
        <v>0</v>
      </c>
      <c r="EX25" s="87"/>
      <c r="EY25" s="83"/>
      <c r="EZ25" s="83"/>
      <c r="FA25" s="82"/>
      <c r="FB25" s="82"/>
      <c r="FC25" s="74" t="str">
        <f t="shared" si="56"/>
        <v xml:space="preserve"> </v>
      </c>
      <c r="FD25" s="92"/>
      <c r="FE25" s="92"/>
      <c r="FF25" s="92"/>
      <c r="FG25" s="92"/>
      <c r="FH25" s="76">
        <f t="shared" si="57"/>
        <v>0</v>
      </c>
      <c r="FI25" s="89"/>
      <c r="FJ25" s="67"/>
      <c r="FK25" s="67"/>
      <c r="FL25" s="78"/>
      <c r="FM25" s="78"/>
      <c r="FN25" s="74" t="str">
        <f t="shared" si="58"/>
        <v xml:space="preserve"> </v>
      </c>
      <c r="FO25" s="94"/>
      <c r="FP25" s="94"/>
      <c r="FQ25" s="94"/>
      <c r="FR25" s="94"/>
      <c r="FS25" s="76">
        <f t="shared" si="59"/>
        <v>0</v>
      </c>
      <c r="FT25" s="87"/>
      <c r="FU25" s="83"/>
      <c r="FV25" s="83"/>
      <c r="FW25" s="82"/>
      <c r="FX25" s="82"/>
      <c r="FY25" s="74" t="str">
        <f t="shared" si="60"/>
        <v xml:space="preserve"> </v>
      </c>
      <c r="FZ25" s="92"/>
      <c r="GA25" s="92"/>
      <c r="GB25" s="92"/>
      <c r="GC25" s="92"/>
      <c r="GD25" s="76">
        <f t="shared" si="61"/>
        <v>0</v>
      </c>
      <c r="GE25" s="62"/>
      <c r="GF25" s="96" t="s">
        <v>221</v>
      </c>
      <c r="GG25" s="96" t="s">
        <v>221</v>
      </c>
      <c r="GH25" s="63"/>
      <c r="GI25" s="63" t="s">
        <v>221</v>
      </c>
      <c r="GJ25" s="63" t="s">
        <v>221</v>
      </c>
      <c r="GK25" s="97">
        <f t="shared" si="24"/>
        <v>0</v>
      </c>
      <c r="GL25" s="63" t="s">
        <v>221</v>
      </c>
      <c r="GM25" s="98"/>
      <c r="GN25" s="97">
        <f t="shared" ref="GN25:GN35" si="79">IFERROR(SUM(GL25:GM25)," ")</f>
        <v>0</v>
      </c>
      <c r="GO25" s="97" t="str">
        <f t="shared" si="63"/>
        <v xml:space="preserve"> </v>
      </c>
      <c r="GP25" s="62"/>
      <c r="GQ25" s="63"/>
      <c r="GR25" s="63"/>
      <c r="GS25" s="63"/>
      <c r="GT25" s="63"/>
      <c r="GU25" s="63"/>
      <c r="GV25" s="63"/>
      <c r="GW25" s="63"/>
      <c r="GX25" s="63"/>
      <c r="GY25" s="65" t="str">
        <f t="shared" ref="GY25:GY26" si="80">IFERROR(IF(IN25&gt;0,"X",""),"")</f>
        <v/>
      </c>
      <c r="GZ25" s="65" t="str">
        <f t="shared" ref="GZ25:GZ26" si="81">IFERROR(IF(JC25&gt;0,"X",""),"")</f>
        <v/>
      </c>
      <c r="HA25" s="63"/>
      <c r="HB25" s="63"/>
      <c r="HC25" s="63"/>
      <c r="HD25" s="63"/>
      <c r="HE25" s="63"/>
      <c r="HF25" s="63"/>
      <c r="HG25" s="63"/>
      <c r="HH25" s="63"/>
      <c r="HI25" s="63"/>
      <c r="HJ25" s="63"/>
      <c r="HK25" s="63"/>
      <c r="HL25" s="65" t="str">
        <f t="shared" si="75"/>
        <v/>
      </c>
      <c r="HM25" s="65" t="str">
        <f t="shared" si="66"/>
        <v/>
      </c>
      <c r="HN25" s="65" t="str">
        <f>IFERROR(IF(OR(IW25&gt;0,IX25&gt;0,IY25&gt;0,IZ25&gt;0),"x",""),"")</f>
        <v/>
      </c>
      <c r="HO25" s="65" t="str">
        <f t="shared" si="76"/>
        <v/>
      </c>
      <c r="HP25" s="99" t="str">
        <f t="shared" si="77"/>
        <v/>
      </c>
      <c r="HQ25" s="99" t="str">
        <f>IFERROR(IF(OR(JL25&gt;0,JM25&gt;0,JN25&gt;0,JO25&gt;0),"x",""),"")</f>
        <v/>
      </c>
      <c r="HR25" s="63"/>
      <c r="HS25" s="63"/>
      <c r="HT25" s="63"/>
      <c r="HU25" s="63"/>
      <c r="HV25" s="63"/>
      <c r="HW25" s="63"/>
      <c r="HX25" s="63"/>
      <c r="HY25" s="63"/>
      <c r="HZ25" s="63"/>
      <c r="IA25" s="63"/>
      <c r="IB25" s="63"/>
      <c r="IC25" s="63"/>
      <c r="ID25" s="96"/>
      <c r="IE25" s="100"/>
      <c r="IF25" s="100"/>
      <c r="IG25" s="100"/>
      <c r="IH25" s="100"/>
      <c r="II25" s="100"/>
      <c r="IJ25" s="100"/>
      <c r="IK25" s="100"/>
      <c r="IL25" s="63"/>
      <c r="IM25" s="62"/>
      <c r="IN25" s="101"/>
      <c r="IO25" s="101"/>
      <c r="IP25" s="63"/>
      <c r="IQ25" s="63"/>
      <c r="IR25" s="63"/>
      <c r="IS25" s="63"/>
      <c r="IT25" s="63"/>
      <c r="IU25" s="63"/>
      <c r="IV25" s="63"/>
      <c r="IW25" s="63"/>
      <c r="IX25" s="63"/>
      <c r="IY25" s="63"/>
      <c r="IZ25" s="63"/>
      <c r="JA25" s="65">
        <f t="shared" si="48"/>
        <v>0</v>
      </c>
      <c r="JB25" s="63"/>
      <c r="JC25" s="101"/>
      <c r="JD25" s="101"/>
      <c r="JE25" s="63"/>
      <c r="JF25" s="63"/>
      <c r="JG25" s="63"/>
      <c r="JH25" s="63"/>
      <c r="JI25" s="63"/>
      <c r="JJ25" s="63"/>
      <c r="JK25" s="63"/>
      <c r="JL25" s="63"/>
      <c r="JM25" s="63"/>
      <c r="JN25" s="63"/>
      <c r="JO25" s="63"/>
      <c r="JP25" s="65">
        <f t="shared" si="29"/>
        <v>0</v>
      </c>
      <c r="JQ25" s="96"/>
      <c r="LM25" s="205"/>
      <c r="LN25" s="102">
        <f>IFERROR(ROWS($IL$8:IL25)," ")</f>
        <v>18</v>
      </c>
      <c r="LO25" s="103" t="str">
        <f>IFERROR(IF([1]Checklist!$C$3='GenInfo (2)'!E25,'GenInfo (2)'!LN25," ")," ")</f>
        <v xml:space="preserve"> </v>
      </c>
      <c r="LP25" s="104" t="str">
        <f>IFERROR(SMALL($LO$8:$LO$94,ROWS($IL$8:IL25))," ")</f>
        <v xml:space="preserve"> </v>
      </c>
      <c r="LQ25" s="102">
        <f>IFERROR(ROWS($IL$8:IL25)," ")</f>
        <v>18</v>
      </c>
      <c r="LR25" s="103" t="str">
        <f>IFERROR(IF([1]Checklist!$C$4='GenInfo (2)'!E25,'GenInfo (2)'!LQ25," ")," ")</f>
        <v xml:space="preserve"> </v>
      </c>
      <c r="LS25" s="104" t="str">
        <f>IFERROR(SMALL($LR$8:$LR$94,ROWS($IL$8:IL25))," ")</f>
        <v xml:space="preserve"> </v>
      </c>
      <c r="LT25" s="102">
        <f>IFERROR(ROWS($IL$8:IL25)," ")</f>
        <v>18</v>
      </c>
      <c r="LU25" s="103" t="str">
        <f>IFERROR(IF([1]Checklist!$C$5='GenInfo (2)'!E25,'GenInfo (2)'!LT25," ")," ")</f>
        <v xml:space="preserve"> </v>
      </c>
      <c r="LV25" s="104" t="str">
        <f>IFERROR(SMALL($LU$8:$LU$94,ROWS($IL$8:IL25))," ")</f>
        <v xml:space="preserve"> </v>
      </c>
      <c r="LW25" s="102">
        <f>IFERROR(ROWS($IL$8:IL25)," ")</f>
        <v>18</v>
      </c>
      <c r="LX25" s="103" t="str">
        <f>IFERROR(IF([1]Checklist!$C$6='GenInfo (2)'!E25,'GenInfo (2)'!LW25," ")," ")</f>
        <v xml:space="preserve"> </v>
      </c>
      <c r="LY25" s="104" t="str">
        <f>IFERROR(SMALL($LX$8:$LX$94,ROWS($IL$8:IL25))," ")</f>
        <v xml:space="preserve"> </v>
      </c>
      <c r="LZ25" s="102">
        <f>IFERROR(ROWS($IL$8:IL25)," ")</f>
        <v>18</v>
      </c>
      <c r="MA25" s="103" t="str">
        <f>IFERROR(IF([1]Checklist!$C$7='GenInfo (2)'!E25,'GenInfo (2)'!LZ25," ")," ")</f>
        <v xml:space="preserve"> </v>
      </c>
      <c r="MB25" s="104" t="str">
        <f>IFERROR(SMALL($MA$8:$MA$94,ROWS($IL$8:IL25))," ")</f>
        <v xml:space="preserve"> </v>
      </c>
      <c r="MC25" s="102">
        <f>IFERROR(ROWS($IL$8:IL25)," ")</f>
        <v>18</v>
      </c>
      <c r="MD25" s="103" t="str">
        <f>IFERROR(IF([1]Checklist!$C$8='GenInfo (2)'!E25,'GenInfo (2)'!MC25," ")," ")</f>
        <v xml:space="preserve"> </v>
      </c>
      <c r="ME25" s="104" t="str">
        <f>IFERROR(SMALL($MD$8:$MD$94,ROWS($IL$8:IL25))," ")</f>
        <v xml:space="preserve"> </v>
      </c>
      <c r="MF25" s="102">
        <f>IFERROR(ROWS($IL$8:IL25)," ")</f>
        <v>18</v>
      </c>
      <c r="MG25" s="103">
        <f>IFERROR(IF([1]Checklist!$C$9='GenInfo (2)'!E25,'GenInfo (2)'!MF25," ")," ")</f>
        <v>18</v>
      </c>
      <c r="MH25" s="104" t="str">
        <f>IFERROR(SMALL($MG$8:$MG$94,ROWS($IL$8:IL25))," ")</f>
        <v xml:space="preserve"> </v>
      </c>
      <c r="MI25" s="102">
        <f>IFERROR(ROWS($IL$8:$IL25)," ")</f>
        <v>18</v>
      </c>
      <c r="MJ25" s="103" t="str">
        <f>IFERROR(IF([1]Checklist!$C$10='GenInfo (2)'!E25,'GenInfo (2)'!MI25," ")," ")</f>
        <v xml:space="preserve"> </v>
      </c>
      <c r="MK25" s="104" t="str">
        <f>IFERROR(SMALL($MJ$8:$MJ$94,ROWS($IL$8:IL25))," ")</f>
        <v xml:space="preserve"> </v>
      </c>
      <c r="ML25" s="102">
        <f>IFERROR(ROWS($IL$8:IL25)," ")</f>
        <v>18</v>
      </c>
      <c r="MM25" s="103" t="str">
        <f>IFERROR(IF([1]Checklist!$C$11='GenInfo (2)'!E25,'GenInfo (2)'!ML25," ")," ")</f>
        <v xml:space="preserve"> </v>
      </c>
      <c r="MN25" s="104" t="str">
        <f>IFERROR(SMALL($MM$8:$MM$94,ROWS($IL$8:IL25))," ")</f>
        <v xml:space="preserve"> </v>
      </c>
      <c r="MO25" s="102">
        <f>IFERROR(ROWS($IL$8:IL25)," ")</f>
        <v>18</v>
      </c>
      <c r="MP25" s="103" t="str">
        <f>IFERROR(IF([1]Checklist!$C$12='GenInfo (2)'!E25,'GenInfo (2)'!MO25," ")," ")</f>
        <v xml:space="preserve"> </v>
      </c>
      <c r="MQ25" s="104" t="str">
        <f>IFERROR(SMALL($MP$8:$MP$94,ROWS($IL$8:IL25))," ")</f>
        <v xml:space="preserve"> </v>
      </c>
      <c r="MR25" s="102">
        <f>IFERROR(ROWS($IL$8:IL25)," ")</f>
        <v>18</v>
      </c>
      <c r="MS25" s="103" t="str">
        <f>IFERROR(IF([1]Checklist!$C$13='GenInfo (2)'!E25,'GenInfo (2)'!MR25," ")," ")</f>
        <v xml:space="preserve"> </v>
      </c>
      <c r="MT25" s="104" t="str">
        <f>IFERROR(SMALL($MS$8:$MS$94,ROWS($IL$8:IL25))," ")</f>
        <v xml:space="preserve"> </v>
      </c>
      <c r="MU25" s="102">
        <f>IFERROR(ROWS($IL$8:IL25)," ")</f>
        <v>18</v>
      </c>
      <c r="MV25" s="103" t="str">
        <f>IFERROR(IF([1]Checklist!$C$14='GenInfo (2)'!E25,'GenInfo (2)'!MU25," ")," ")</f>
        <v xml:space="preserve"> </v>
      </c>
      <c r="MW25" s="104" t="str">
        <f>IFERROR(SMALL($MV$8:$MV$94,ROWS($IL$8:IL25))," ")</f>
        <v xml:space="preserve"> </v>
      </c>
      <c r="MX25" s="102">
        <f>IFERROR(ROWS($IL$8:IL25)," ")</f>
        <v>18</v>
      </c>
      <c r="MY25" s="103" t="str">
        <f>IFERROR(IF([1]Checklist!$C$15='GenInfo (2)'!E25,'GenInfo (2)'!MX25," ")," ")</f>
        <v xml:space="preserve"> </v>
      </c>
      <c r="MZ25" s="104" t="str">
        <f>IFERROR(SMALL($MY$8:$MY$94,ROWS($IL$8:IL25))," ")</f>
        <v xml:space="preserve"> </v>
      </c>
      <c r="NA25" s="102">
        <f>IFERROR(ROWS($IL$8:IL25)," ")</f>
        <v>18</v>
      </c>
      <c r="NB25" s="103" t="str">
        <f>IFERROR(IF([1]Checklist!$C$16='GenInfo (2)'!E25,'GenInfo (2)'!NA25," ")," ")</f>
        <v xml:space="preserve"> </v>
      </c>
      <c r="NC25" s="104" t="str">
        <f>IFERROR(SMALL($NB$8:$NB$94,ROWS($IL$8:IL25))," ")</f>
        <v xml:space="preserve"> </v>
      </c>
      <c r="ND25" s="102">
        <f>IFERROR(ROWS($IL$8:IL25)," ")</f>
        <v>18</v>
      </c>
      <c r="NE25" s="103" t="str">
        <f>IFERROR(IF([1]Checklist!$C$17='GenInfo (2)'!E25,'GenInfo (2)'!ND25," ")," ")</f>
        <v xml:space="preserve"> </v>
      </c>
      <c r="NF25" s="104" t="str">
        <f>IFERROR(SMALL($NE$8:$NE$94,ROWS($IL$8:IL25))," ")</f>
        <v xml:space="preserve"> </v>
      </c>
    </row>
    <row r="26" spans="1:370" ht="14.25" x14ac:dyDescent="0.45">
      <c r="A26" s="37" t="s">
        <v>213</v>
      </c>
      <c r="B26" s="37">
        <v>127</v>
      </c>
      <c r="C26" s="146" t="s">
        <v>427</v>
      </c>
      <c r="D26" t="s">
        <v>428</v>
      </c>
      <c r="E26" s="64" t="s">
        <v>421</v>
      </c>
      <c r="F26" s="63">
        <v>88756985</v>
      </c>
      <c r="G26" s="64" t="s">
        <v>267</v>
      </c>
      <c r="H26" s="63"/>
      <c r="I26" s="132" t="s">
        <v>429</v>
      </c>
      <c r="J26" s="63" t="s">
        <v>430</v>
      </c>
      <c r="K26" s="62"/>
      <c r="L26" s="67">
        <v>43732</v>
      </c>
      <c r="M26" s="67">
        <v>43733</v>
      </c>
      <c r="N26" s="67" t="s">
        <v>213</v>
      </c>
      <c r="O26" s="68">
        <v>43709</v>
      </c>
      <c r="P26" s="67">
        <v>43733</v>
      </c>
      <c r="Q26" s="67">
        <v>43763</v>
      </c>
      <c r="R26" s="63"/>
      <c r="S26" s="67"/>
      <c r="T26" s="63"/>
      <c r="U26" s="62"/>
      <c r="V26" s="63"/>
      <c r="W26" s="63"/>
      <c r="X26" s="69"/>
      <c r="Y26" s="67"/>
      <c r="Z26" s="69"/>
      <c r="AA26" s="62"/>
      <c r="AB26" s="63" t="s">
        <v>431</v>
      </c>
      <c r="AC26" s="63" t="s">
        <v>432</v>
      </c>
      <c r="AD26" s="126" t="s">
        <v>433</v>
      </c>
      <c r="AE26" s="63" t="s">
        <v>322</v>
      </c>
      <c r="AF26" s="63"/>
      <c r="AG26" s="63"/>
      <c r="AH26" s="63"/>
      <c r="AI26" s="63"/>
      <c r="AJ26" s="63"/>
      <c r="AK26" s="62"/>
      <c r="AL26" s="71" t="str">
        <f t="shared" si="36"/>
        <v/>
      </c>
      <c r="AM26" s="71">
        <f t="shared" ca="1" si="78"/>
        <v>20</v>
      </c>
      <c r="AN26" s="67">
        <v>37211</v>
      </c>
      <c r="AO26" s="72">
        <f t="shared" ca="1" si="38"/>
        <v>9</v>
      </c>
      <c r="AP26" s="63" t="s">
        <v>313</v>
      </c>
      <c r="AQ26" s="73" t="s">
        <v>264</v>
      </c>
      <c r="AR26" s="70" t="s">
        <v>434</v>
      </c>
      <c r="AS26" s="63"/>
      <c r="AT26" s="63"/>
      <c r="AU26" s="63"/>
      <c r="AV26" s="63"/>
      <c r="AW26" s="63"/>
      <c r="AX26" s="63" t="s">
        <v>335</v>
      </c>
      <c r="AY26" s="63" t="s">
        <v>265</v>
      </c>
      <c r="AZ26" s="63" t="s">
        <v>235</v>
      </c>
      <c r="BA26" s="63" t="s">
        <v>235</v>
      </c>
      <c r="BB26" s="63"/>
      <c r="BC26" s="63"/>
      <c r="BD26" s="62"/>
      <c r="BE26" s="71">
        <f t="shared" si="39"/>
        <v>0</v>
      </c>
      <c r="BF26" s="71">
        <f t="shared" si="39"/>
        <v>0</v>
      </c>
      <c r="BG26" s="71">
        <f t="shared" si="40"/>
        <v>0</v>
      </c>
      <c r="BH26" s="74" t="str">
        <f t="shared" si="41"/>
        <v xml:space="preserve"> </v>
      </c>
      <c r="BI26" s="75" t="str">
        <f t="shared" si="42"/>
        <v xml:space="preserve"> </v>
      </c>
      <c r="BJ26" s="71">
        <f t="shared" si="43"/>
        <v>0</v>
      </c>
      <c r="BK26" s="75" t="str">
        <f t="shared" si="44"/>
        <v xml:space="preserve"> </v>
      </c>
      <c r="BL26" s="76">
        <f t="shared" si="45"/>
        <v>0</v>
      </c>
      <c r="BM26" s="77">
        <f t="shared" si="45"/>
        <v>0</v>
      </c>
      <c r="BN26" s="78"/>
      <c r="BO26" s="67"/>
      <c r="BP26" s="67"/>
      <c r="BQ26" s="63"/>
      <c r="BR26" s="63"/>
      <c r="BS26" s="74" t="str">
        <f t="shared" si="49"/>
        <v xml:space="preserve"> </v>
      </c>
      <c r="BT26" s="79">
        <v>0</v>
      </c>
      <c r="BU26" s="79">
        <v>0</v>
      </c>
      <c r="BV26" s="80">
        <v>0</v>
      </c>
      <c r="BW26" s="81">
        <v>0</v>
      </c>
      <c r="BX26" s="82"/>
      <c r="BY26" s="83"/>
      <c r="BZ26" s="83"/>
      <c r="CA26" s="84"/>
      <c r="CB26" s="84"/>
      <c r="CC26" s="74" t="str">
        <f t="shared" si="50"/>
        <v xml:space="preserve"> </v>
      </c>
      <c r="CD26" s="79">
        <v>0</v>
      </c>
      <c r="CE26" s="81">
        <v>0</v>
      </c>
      <c r="CF26" s="85"/>
      <c r="CG26" s="85"/>
      <c r="CH26" s="85"/>
      <c r="CI26" s="78"/>
      <c r="CJ26" s="78"/>
      <c r="CK26" s="74" t="str">
        <f t="shared" si="51"/>
        <v xml:space="preserve"> </v>
      </c>
      <c r="CL26" s="79">
        <v>0</v>
      </c>
      <c r="CM26" s="79">
        <v>0</v>
      </c>
      <c r="CN26" s="86">
        <v>0</v>
      </c>
      <c r="CO26" s="81">
        <v>0</v>
      </c>
      <c r="CP26" s="87"/>
      <c r="CQ26" s="83"/>
      <c r="CR26" s="83"/>
      <c r="CS26" s="82"/>
      <c r="CT26" s="82"/>
      <c r="CU26" s="74" t="str">
        <f t="shared" si="52"/>
        <v xml:space="preserve"> </v>
      </c>
      <c r="CV26" s="79">
        <v>0</v>
      </c>
      <c r="CW26" s="79">
        <v>0</v>
      </c>
      <c r="CX26" s="88">
        <v>0</v>
      </c>
      <c r="CY26" s="81">
        <v>0</v>
      </c>
      <c r="CZ26" s="89"/>
      <c r="DA26" s="67"/>
      <c r="DB26" s="67"/>
      <c r="DC26" s="78"/>
      <c r="DD26" s="78"/>
      <c r="DE26" s="74" t="str">
        <f t="shared" si="53"/>
        <v xml:space="preserve"> </v>
      </c>
      <c r="DF26" s="79">
        <v>0</v>
      </c>
      <c r="DG26" s="79">
        <v>0</v>
      </c>
      <c r="DH26" s="79">
        <v>0</v>
      </c>
      <c r="DI26" s="81">
        <v>0</v>
      </c>
      <c r="DJ26" s="87"/>
      <c r="DK26" s="83"/>
      <c r="DL26" s="83"/>
      <c r="DM26" s="82"/>
      <c r="DN26" s="82"/>
      <c r="DO26" s="74" t="str">
        <f t="shared" si="54"/>
        <v xml:space="preserve"> </v>
      </c>
      <c r="DP26" s="79">
        <v>0</v>
      </c>
      <c r="DQ26" s="79">
        <v>0</v>
      </c>
      <c r="DR26" s="79">
        <v>0</v>
      </c>
      <c r="DS26" s="81">
        <v>0</v>
      </c>
      <c r="DT26" s="89"/>
      <c r="DU26" s="67"/>
      <c r="DV26" s="67"/>
      <c r="DW26" s="78"/>
      <c r="DX26" s="78"/>
      <c r="DY26" s="74" t="str">
        <f t="shared" si="55"/>
        <v xml:space="preserve"> </v>
      </c>
      <c r="DZ26" s="90">
        <v>0</v>
      </c>
      <c r="EA26" s="90">
        <v>0</v>
      </c>
      <c r="EB26" s="90">
        <v>0</v>
      </c>
      <c r="EC26" s="91">
        <v>0</v>
      </c>
      <c r="ED26" s="87"/>
      <c r="EE26" s="83"/>
      <c r="EF26" s="83"/>
      <c r="EG26" s="82"/>
      <c r="EH26" s="82"/>
      <c r="EI26" s="74" t="str">
        <f t="shared" si="46"/>
        <v xml:space="preserve"> </v>
      </c>
      <c r="EJ26" s="92">
        <v>0</v>
      </c>
      <c r="EK26" s="92">
        <v>0</v>
      </c>
      <c r="EL26" s="92">
        <v>0</v>
      </c>
      <c r="EM26" s="93">
        <v>0</v>
      </c>
      <c r="EN26" s="89"/>
      <c r="EO26" s="67"/>
      <c r="EP26" s="67"/>
      <c r="EQ26" s="78"/>
      <c r="ER26" s="78"/>
      <c r="ES26" s="74" t="str">
        <f t="shared" si="47"/>
        <v xml:space="preserve"> </v>
      </c>
      <c r="ET26" s="94">
        <v>0</v>
      </c>
      <c r="EU26" s="94"/>
      <c r="EV26" s="94">
        <v>0</v>
      </c>
      <c r="EW26" s="95">
        <v>0</v>
      </c>
      <c r="EX26" s="87"/>
      <c r="EY26" s="83"/>
      <c r="EZ26" s="83"/>
      <c r="FA26" s="82"/>
      <c r="FB26" s="82"/>
      <c r="FC26" s="74" t="str">
        <f t="shared" si="56"/>
        <v xml:space="preserve"> </v>
      </c>
      <c r="FD26" s="92"/>
      <c r="FE26" s="92"/>
      <c r="FF26" s="92"/>
      <c r="FG26" s="92"/>
      <c r="FH26" s="76">
        <f t="shared" si="57"/>
        <v>0</v>
      </c>
      <c r="FI26" s="89"/>
      <c r="FJ26" s="67"/>
      <c r="FK26" s="67"/>
      <c r="FL26" s="78"/>
      <c r="FM26" s="78"/>
      <c r="FN26" s="74" t="str">
        <f t="shared" si="58"/>
        <v xml:space="preserve"> </v>
      </c>
      <c r="FO26" s="94"/>
      <c r="FP26" s="94"/>
      <c r="FQ26" s="94"/>
      <c r="FR26" s="94"/>
      <c r="FS26" s="76">
        <f t="shared" si="59"/>
        <v>0</v>
      </c>
      <c r="FT26" s="87"/>
      <c r="FU26" s="83"/>
      <c r="FV26" s="83"/>
      <c r="FW26" s="82"/>
      <c r="FX26" s="82"/>
      <c r="FY26" s="74" t="str">
        <f t="shared" si="60"/>
        <v xml:space="preserve"> </v>
      </c>
      <c r="FZ26" s="92"/>
      <c r="GA26" s="92"/>
      <c r="GB26" s="92"/>
      <c r="GC26" s="92"/>
      <c r="GD26" s="76">
        <f t="shared" si="61"/>
        <v>0</v>
      </c>
      <c r="GE26" s="62"/>
      <c r="GF26" s="96">
        <v>0</v>
      </c>
      <c r="GG26" s="96" t="s">
        <v>335</v>
      </c>
      <c r="GH26" s="63"/>
      <c r="GI26" s="63" t="s">
        <v>221</v>
      </c>
      <c r="GJ26" s="63" t="s">
        <v>221</v>
      </c>
      <c r="GK26" s="97">
        <f t="shared" si="24"/>
        <v>0</v>
      </c>
      <c r="GL26" s="63" t="s">
        <v>221</v>
      </c>
      <c r="GM26" s="98"/>
      <c r="GN26" s="97">
        <f t="shared" si="79"/>
        <v>0</v>
      </c>
      <c r="GO26" s="97">
        <f t="shared" si="63"/>
        <v>0</v>
      </c>
      <c r="GP26" s="62"/>
      <c r="GQ26" s="63" t="s">
        <v>213</v>
      </c>
      <c r="GR26" s="63"/>
      <c r="GS26" s="63"/>
      <c r="GT26" s="63"/>
      <c r="GU26" s="63"/>
      <c r="GV26" s="63"/>
      <c r="GW26" s="63"/>
      <c r="GX26" s="63"/>
      <c r="GY26" s="65" t="str">
        <f t="shared" si="80"/>
        <v/>
      </c>
      <c r="GZ26" s="65" t="str">
        <f t="shared" si="81"/>
        <v/>
      </c>
      <c r="HA26" s="63"/>
      <c r="HB26" s="63"/>
      <c r="HC26" s="63"/>
      <c r="HD26" s="63"/>
      <c r="HE26" s="63"/>
      <c r="HF26" s="63"/>
      <c r="HG26" s="63"/>
      <c r="HH26" s="63"/>
      <c r="HI26" s="63"/>
      <c r="HJ26" s="63"/>
      <c r="HK26" s="63"/>
      <c r="HL26" s="65" t="str">
        <f t="shared" si="75"/>
        <v/>
      </c>
      <c r="HM26" s="65" t="str">
        <f t="shared" si="66"/>
        <v/>
      </c>
      <c r="HN26" s="65" t="str">
        <f>IFERROR(IF(OR(IW26&gt;0,IX26&gt;0,IY26&gt;0,IZ26&gt;0),"x",""),"")</f>
        <v/>
      </c>
      <c r="HO26" s="65" t="str">
        <f t="shared" si="76"/>
        <v/>
      </c>
      <c r="HP26" s="99" t="str">
        <f t="shared" si="77"/>
        <v/>
      </c>
      <c r="HQ26" s="99" t="str">
        <f>IFERROR(IF(OR(JL26&gt;0,JM26&gt;0,JN26&gt;0,JO26&gt;0),"x",""),"")</f>
        <v/>
      </c>
      <c r="HR26" s="63"/>
      <c r="HS26" s="63"/>
      <c r="HT26" s="63"/>
      <c r="HU26" s="63"/>
      <c r="HV26" s="63"/>
      <c r="HW26" s="63"/>
      <c r="HX26" s="63"/>
      <c r="HY26" s="63"/>
      <c r="HZ26" s="63" t="s">
        <v>239</v>
      </c>
      <c r="IA26" s="63"/>
      <c r="IB26" s="63"/>
      <c r="IC26" s="63"/>
      <c r="ID26" s="63"/>
      <c r="IE26" s="63"/>
      <c r="IF26" s="63"/>
      <c r="IG26" s="63"/>
      <c r="IH26" s="63"/>
      <c r="II26" s="63"/>
      <c r="IJ26" s="63"/>
      <c r="IK26" s="63"/>
      <c r="IL26" s="63"/>
      <c r="IM26" s="62"/>
      <c r="IN26" s="101"/>
      <c r="IO26" s="101"/>
      <c r="IP26" s="63"/>
      <c r="IQ26" s="63"/>
      <c r="IR26" s="63"/>
      <c r="IS26" s="63"/>
      <c r="IT26" s="63"/>
      <c r="IU26" s="63"/>
      <c r="IV26" s="63"/>
      <c r="IW26" s="63"/>
      <c r="IX26" s="63"/>
      <c r="IY26" s="63"/>
      <c r="IZ26" s="63"/>
      <c r="JA26" s="65">
        <f t="shared" si="48"/>
        <v>0</v>
      </c>
      <c r="JB26" s="63"/>
      <c r="JC26" s="101"/>
      <c r="JD26" s="101"/>
      <c r="JE26" s="63"/>
      <c r="JF26" s="63"/>
      <c r="JG26" s="63"/>
      <c r="JH26" s="63"/>
      <c r="JI26" s="63"/>
      <c r="JJ26" s="63"/>
      <c r="JK26" s="63"/>
      <c r="JL26" s="63"/>
      <c r="JM26" s="96"/>
      <c r="JN26" s="96"/>
      <c r="JO26" s="63"/>
      <c r="JP26" s="65">
        <f t="shared" si="29"/>
        <v>0</v>
      </c>
      <c r="JQ26" s="96"/>
      <c r="LM26" s="205"/>
      <c r="LN26" s="102">
        <f>IFERROR(ROWS($IL$8:IL26)," ")</f>
        <v>19</v>
      </c>
      <c r="LO26" s="103" t="str">
        <f>IFERROR(IF([1]Checklist!$C$3='GenInfo (2)'!E26,'GenInfo (2)'!LN26," ")," ")</f>
        <v xml:space="preserve"> </v>
      </c>
      <c r="LP26" s="104" t="str">
        <f>IFERROR(SMALL($LO$8:$LO$94,ROWS($IL$8:IL26))," ")</f>
        <v xml:space="preserve"> </v>
      </c>
      <c r="LQ26" s="102">
        <f>IFERROR(ROWS($IL$8:IL26)," ")</f>
        <v>19</v>
      </c>
      <c r="LR26" s="103" t="str">
        <f>IFERROR(IF([1]Checklist!$C$4='GenInfo (2)'!E26,'GenInfo (2)'!LQ26," ")," ")</f>
        <v xml:space="preserve"> </v>
      </c>
      <c r="LS26" s="104" t="str">
        <f>IFERROR(SMALL($LR$8:$LR$94,ROWS($IL$8:IL26))," ")</f>
        <v xml:space="preserve"> </v>
      </c>
      <c r="LT26" s="102">
        <f>IFERROR(ROWS($IL$8:IL26)," ")</f>
        <v>19</v>
      </c>
      <c r="LU26" s="103" t="str">
        <f>IFERROR(IF([1]Checklist!$C$5='GenInfo (2)'!E26,'GenInfo (2)'!LT26," ")," ")</f>
        <v xml:space="preserve"> </v>
      </c>
      <c r="LV26" s="104" t="str">
        <f>IFERROR(SMALL($LU$8:$LU$94,ROWS($IL$8:IL26))," ")</f>
        <v xml:space="preserve"> </v>
      </c>
      <c r="LW26" s="102">
        <f>IFERROR(ROWS($IL$8:IL26)," ")</f>
        <v>19</v>
      </c>
      <c r="LX26" s="103" t="str">
        <f>IFERROR(IF([1]Checklist!$C$6='GenInfo (2)'!E26,'GenInfo (2)'!LW26," ")," ")</f>
        <v xml:space="preserve"> </v>
      </c>
      <c r="LY26" s="104" t="str">
        <f>IFERROR(SMALL($LX$8:$LX$94,ROWS($IL$8:IL26))," ")</f>
        <v xml:space="preserve"> </v>
      </c>
      <c r="LZ26" s="102">
        <f>IFERROR(ROWS($IL$8:IL26)," ")</f>
        <v>19</v>
      </c>
      <c r="MA26" s="103" t="str">
        <f>IFERROR(IF([1]Checklist!$C$7='GenInfo (2)'!E26,'GenInfo (2)'!LZ26," ")," ")</f>
        <v xml:space="preserve"> </v>
      </c>
      <c r="MB26" s="104" t="str">
        <f>IFERROR(SMALL($MA$8:$MA$94,ROWS($IL$8:IL26))," ")</f>
        <v xml:space="preserve"> </v>
      </c>
      <c r="MC26" s="102">
        <f>IFERROR(ROWS($IL$8:IL26)," ")</f>
        <v>19</v>
      </c>
      <c r="MD26" s="103" t="str">
        <f>IFERROR(IF([1]Checklist!$C$8='GenInfo (2)'!E26,'GenInfo (2)'!MC26," ")," ")</f>
        <v xml:space="preserve"> </v>
      </c>
      <c r="ME26" s="104" t="str">
        <f>IFERROR(SMALL($MD$8:$MD$94,ROWS($IL$8:IL26))," ")</f>
        <v xml:space="preserve"> </v>
      </c>
      <c r="MF26" s="102">
        <f>IFERROR(ROWS($IL$8:IL26)," ")</f>
        <v>19</v>
      </c>
      <c r="MG26" s="103">
        <f>IFERROR(IF([1]Checklist!$C$9='GenInfo (2)'!E26,'GenInfo (2)'!MF26," ")," ")</f>
        <v>19</v>
      </c>
      <c r="MH26" s="104" t="str">
        <f>IFERROR(SMALL($MG$8:$MG$94,ROWS($IL$8:IL26))," ")</f>
        <v xml:space="preserve"> </v>
      </c>
      <c r="MI26" s="102">
        <f>IFERROR(ROWS($IL$8:$IL26)," ")</f>
        <v>19</v>
      </c>
      <c r="MJ26" s="103" t="str">
        <f>IFERROR(IF([1]Checklist!$C$10='GenInfo (2)'!E26,'GenInfo (2)'!MI26," ")," ")</f>
        <v xml:space="preserve"> </v>
      </c>
      <c r="MK26" s="104" t="str">
        <f>IFERROR(SMALL($MJ$8:$MJ$94,ROWS($IL$8:IL26))," ")</f>
        <v xml:space="preserve"> </v>
      </c>
      <c r="ML26" s="102">
        <f>IFERROR(ROWS($IL$8:IL26)," ")</f>
        <v>19</v>
      </c>
      <c r="MM26" s="103" t="str">
        <f>IFERROR(IF([1]Checklist!$C$11='GenInfo (2)'!E26,'GenInfo (2)'!ML26," ")," ")</f>
        <v xml:space="preserve"> </v>
      </c>
      <c r="MN26" s="104" t="str">
        <f>IFERROR(SMALL($MM$8:$MM$94,ROWS($IL$8:IL26))," ")</f>
        <v xml:space="preserve"> </v>
      </c>
      <c r="MO26" s="102">
        <f>IFERROR(ROWS($IL$8:IL26)," ")</f>
        <v>19</v>
      </c>
      <c r="MP26" s="103" t="str">
        <f>IFERROR(IF([1]Checklist!$C$12='GenInfo (2)'!E26,'GenInfo (2)'!MO26," ")," ")</f>
        <v xml:space="preserve"> </v>
      </c>
      <c r="MQ26" s="104" t="str">
        <f>IFERROR(SMALL($MP$8:$MP$94,ROWS($IL$8:IL26))," ")</f>
        <v xml:space="preserve"> </v>
      </c>
      <c r="MR26" s="102">
        <f>IFERROR(ROWS($IL$8:IL26)," ")</f>
        <v>19</v>
      </c>
      <c r="MS26" s="103" t="str">
        <f>IFERROR(IF([1]Checklist!$C$13='GenInfo (2)'!E26,'GenInfo (2)'!MR26," ")," ")</f>
        <v xml:space="preserve"> </v>
      </c>
      <c r="MT26" s="104" t="str">
        <f>IFERROR(SMALL($MS$8:$MS$94,ROWS($IL$8:IL26))," ")</f>
        <v xml:space="preserve"> </v>
      </c>
      <c r="MU26" s="102">
        <f>IFERROR(ROWS($IL$8:IL26)," ")</f>
        <v>19</v>
      </c>
      <c r="MV26" s="103" t="str">
        <f>IFERROR(IF([1]Checklist!$C$14='GenInfo (2)'!E26,'GenInfo (2)'!MU26," ")," ")</f>
        <v xml:space="preserve"> </v>
      </c>
      <c r="MW26" s="104" t="str">
        <f>IFERROR(SMALL($MV$8:$MV$94,ROWS($IL$8:IL26))," ")</f>
        <v xml:space="preserve"> </v>
      </c>
      <c r="MX26" s="102">
        <f>IFERROR(ROWS($IL$8:IL26)," ")</f>
        <v>19</v>
      </c>
      <c r="MY26" s="103" t="str">
        <f>IFERROR(IF([1]Checklist!$C$15='GenInfo (2)'!E26,'GenInfo (2)'!MX26," ")," ")</f>
        <v xml:space="preserve"> </v>
      </c>
      <c r="MZ26" s="104" t="str">
        <f>IFERROR(SMALL($MY$8:$MY$94,ROWS($IL$8:IL26))," ")</f>
        <v xml:space="preserve"> </v>
      </c>
      <c r="NA26" s="102">
        <f>IFERROR(ROWS($IL$8:IL26)," ")</f>
        <v>19</v>
      </c>
      <c r="NB26" s="103" t="str">
        <f>IFERROR(IF([1]Checklist!$C$16='GenInfo (2)'!E26,'GenInfo (2)'!NA26," ")," ")</f>
        <v xml:space="preserve"> </v>
      </c>
      <c r="NC26" s="104" t="str">
        <f>IFERROR(SMALL($NB$8:$NB$94,ROWS($IL$8:IL26))," ")</f>
        <v xml:space="preserve"> </v>
      </c>
      <c r="ND26" s="102">
        <f>IFERROR(ROWS($IL$8:IL26)," ")</f>
        <v>19</v>
      </c>
      <c r="NE26" s="103" t="str">
        <f>IFERROR(IF([1]Checklist!$C$17='GenInfo (2)'!E26,'GenInfo (2)'!ND26," ")," ")</f>
        <v xml:space="preserve"> </v>
      </c>
      <c r="NF26" s="104" t="str">
        <f>IFERROR(SMALL($NE$8:$NE$94,ROWS($IL$8:IL26))," ")</f>
        <v xml:space="preserve"> </v>
      </c>
    </row>
    <row r="27" spans="1:370" ht="14.25" x14ac:dyDescent="0.45">
      <c r="A27" s="37" t="s">
        <v>213</v>
      </c>
      <c r="B27" s="37">
        <v>133</v>
      </c>
      <c r="C27" s="146" t="s">
        <v>435</v>
      </c>
      <c r="D27" t="s">
        <v>436</v>
      </c>
      <c r="E27" s="64" t="s">
        <v>421</v>
      </c>
      <c r="F27" s="63">
        <v>77888587</v>
      </c>
      <c r="G27" s="64" t="s">
        <v>218</v>
      </c>
      <c r="H27" s="63"/>
      <c r="I27" s="132" t="s">
        <v>437</v>
      </c>
      <c r="J27" s="63" t="s">
        <v>438</v>
      </c>
      <c r="K27" s="62"/>
      <c r="L27" s="67">
        <v>43732</v>
      </c>
      <c r="M27" s="67">
        <v>43733</v>
      </c>
      <c r="N27" s="67" t="s">
        <v>213</v>
      </c>
      <c r="O27" s="68">
        <v>43709</v>
      </c>
      <c r="P27" s="67">
        <v>43733</v>
      </c>
      <c r="Q27" s="67">
        <v>43763</v>
      </c>
      <c r="R27" s="63" t="s">
        <v>297</v>
      </c>
      <c r="S27" s="67"/>
      <c r="T27" s="63"/>
      <c r="U27" s="62"/>
      <c r="V27" s="67">
        <v>43745</v>
      </c>
      <c r="W27" s="63" t="s">
        <v>222</v>
      </c>
      <c r="X27" s="69"/>
      <c r="Y27" s="67"/>
      <c r="Z27" s="69"/>
      <c r="AA27" s="62"/>
      <c r="AB27" s="63" t="s">
        <v>439</v>
      </c>
      <c r="AC27" s="63" t="s">
        <v>440</v>
      </c>
      <c r="AD27" s="126" t="s">
        <v>441</v>
      </c>
      <c r="AE27" s="63"/>
      <c r="AF27" s="63"/>
      <c r="AG27" s="63"/>
      <c r="AH27" s="63"/>
      <c r="AI27" s="63"/>
      <c r="AJ27" s="63"/>
      <c r="AK27" s="62"/>
      <c r="AL27" s="71">
        <f t="shared" si="36"/>
        <v>16</v>
      </c>
      <c r="AM27" s="71">
        <f t="shared" ca="1" si="78"/>
        <v>18</v>
      </c>
      <c r="AN27" s="67">
        <v>37671</v>
      </c>
      <c r="AO27" s="72">
        <f t="shared" ca="1" si="38"/>
        <v>24</v>
      </c>
      <c r="AP27" s="63" t="s">
        <v>313</v>
      </c>
      <c r="AQ27" s="73" t="s">
        <v>264</v>
      </c>
      <c r="AR27" s="70" t="s">
        <v>434</v>
      </c>
      <c r="AS27" s="63"/>
      <c r="AT27" s="63"/>
      <c r="AU27" s="63"/>
      <c r="AV27" s="63">
        <v>3</v>
      </c>
      <c r="AW27" s="63">
        <v>60</v>
      </c>
      <c r="AX27" s="63" t="s">
        <v>236</v>
      </c>
      <c r="AY27" s="63" t="s">
        <v>265</v>
      </c>
      <c r="AZ27" s="63" t="s">
        <v>235</v>
      </c>
      <c r="BA27" s="63" t="s">
        <v>235</v>
      </c>
      <c r="BB27" s="63"/>
      <c r="BC27" s="63"/>
      <c r="BD27" s="62"/>
      <c r="BE27" s="71">
        <f t="shared" ref="BE27:BF35" si="82">IFERROR(COUNTIF(CI27,"&gt;0")+COUNTIF(CS27,"&gt;0")+COUNTIF(DC27,"&gt;0")+COUNTIF(DM27,"&gt;0")+COUNTIF(DW27,"&gt;0")+COUNTIF(EG27,"&gt;0")," ")</f>
        <v>5</v>
      </c>
      <c r="BF27" s="71">
        <f t="shared" si="82"/>
        <v>5</v>
      </c>
      <c r="BG27" s="71">
        <f t="shared" si="40"/>
        <v>2</v>
      </c>
      <c r="BH27" s="74">
        <f t="shared" si="41"/>
        <v>0.71118421052631575</v>
      </c>
      <c r="BI27" s="75">
        <f t="shared" si="42"/>
        <v>0.4</v>
      </c>
      <c r="BJ27" s="71">
        <f t="shared" si="43"/>
        <v>1</v>
      </c>
      <c r="BK27" s="75">
        <f t="shared" si="44"/>
        <v>0.2</v>
      </c>
      <c r="BL27" s="76">
        <f t="shared" ref="BL27:BM35" si="83">IFERROR(SUM(BV27,CD27,CN27,CW27,DH27,DR27,EB27,EL27),"")</f>
        <v>20</v>
      </c>
      <c r="BM27" s="77">
        <f t="shared" si="83"/>
        <v>20</v>
      </c>
      <c r="BN27" s="78"/>
      <c r="BO27" s="67"/>
      <c r="BP27" s="67"/>
      <c r="BQ27" s="63"/>
      <c r="BR27" s="63"/>
      <c r="BS27" s="74" t="str">
        <f t="shared" si="49"/>
        <v xml:space="preserve"> </v>
      </c>
      <c r="BT27" s="79">
        <v>0</v>
      </c>
      <c r="BU27" s="79">
        <v>0</v>
      </c>
      <c r="BV27" s="80">
        <v>0</v>
      </c>
      <c r="BW27" s="81">
        <v>0</v>
      </c>
      <c r="BX27" s="82"/>
      <c r="BY27" s="83"/>
      <c r="BZ27" s="83"/>
      <c r="CA27" s="84"/>
      <c r="CB27" s="84"/>
      <c r="CC27" s="74" t="str">
        <f t="shared" si="50"/>
        <v xml:space="preserve"> </v>
      </c>
      <c r="CD27" s="79">
        <v>0</v>
      </c>
      <c r="CE27" s="81">
        <v>0</v>
      </c>
      <c r="CF27" s="85"/>
      <c r="CG27" s="85"/>
      <c r="CH27" s="85"/>
      <c r="CI27" s="78"/>
      <c r="CJ27" s="78"/>
      <c r="CK27" s="74" t="str">
        <f t="shared" si="51"/>
        <v xml:space="preserve"> </v>
      </c>
      <c r="CL27" s="79">
        <v>0</v>
      </c>
      <c r="CM27" s="79">
        <v>0</v>
      </c>
      <c r="CN27" s="86">
        <v>0</v>
      </c>
      <c r="CO27" s="81">
        <v>0</v>
      </c>
      <c r="CP27" s="87"/>
      <c r="CQ27" s="83"/>
      <c r="CR27" s="83"/>
      <c r="CS27" s="82">
        <v>21</v>
      </c>
      <c r="CT27" s="82">
        <v>21</v>
      </c>
      <c r="CU27" s="74">
        <f t="shared" si="52"/>
        <v>1</v>
      </c>
      <c r="CV27" s="79">
        <v>0</v>
      </c>
      <c r="CW27" s="79">
        <v>20</v>
      </c>
      <c r="CX27" s="88">
        <v>20</v>
      </c>
      <c r="CY27" s="81">
        <v>134</v>
      </c>
      <c r="CZ27" s="89"/>
      <c r="DA27" s="67"/>
      <c r="DB27" s="67"/>
      <c r="DC27" s="78">
        <v>16</v>
      </c>
      <c r="DD27" s="78">
        <v>3</v>
      </c>
      <c r="DE27" s="74">
        <f t="shared" si="53"/>
        <v>0.1875</v>
      </c>
      <c r="DF27" s="79">
        <v>0</v>
      </c>
      <c r="DG27" s="79">
        <v>0</v>
      </c>
      <c r="DH27" s="79">
        <v>0</v>
      </c>
      <c r="DI27" s="81">
        <v>0</v>
      </c>
      <c r="DJ27" s="87"/>
      <c r="DK27" s="83"/>
      <c r="DL27" s="83"/>
      <c r="DM27" s="82">
        <v>15</v>
      </c>
      <c r="DN27" s="82">
        <v>15</v>
      </c>
      <c r="DO27" s="74">
        <f t="shared" si="54"/>
        <v>1</v>
      </c>
      <c r="DP27" s="79">
        <v>0</v>
      </c>
      <c r="DQ27" s="79">
        <v>0</v>
      </c>
      <c r="DR27" s="79">
        <v>0</v>
      </c>
      <c r="DS27" s="81">
        <v>0</v>
      </c>
      <c r="DT27" s="89"/>
      <c r="DU27" s="67"/>
      <c r="DV27" s="67"/>
      <c r="DW27" s="78">
        <v>18</v>
      </c>
      <c r="DX27" s="78">
        <v>18</v>
      </c>
      <c r="DY27" s="74">
        <f t="shared" si="55"/>
        <v>1</v>
      </c>
      <c r="DZ27" s="90">
        <v>0</v>
      </c>
      <c r="EA27" s="90">
        <v>0</v>
      </c>
      <c r="EB27" s="90">
        <v>0</v>
      </c>
      <c r="EC27" s="91">
        <v>0</v>
      </c>
      <c r="ED27" s="87"/>
      <c r="EE27" s="83"/>
      <c r="EF27" s="83"/>
      <c r="EG27" s="82">
        <v>19</v>
      </c>
      <c r="EH27" s="82">
        <v>7</v>
      </c>
      <c r="EI27" s="74">
        <f t="shared" si="46"/>
        <v>0.36842105263157893</v>
      </c>
      <c r="EJ27" s="92">
        <v>0</v>
      </c>
      <c r="EK27" s="92">
        <v>0</v>
      </c>
      <c r="EL27" s="92">
        <v>0</v>
      </c>
      <c r="EM27" s="93">
        <v>0</v>
      </c>
      <c r="EN27" s="89"/>
      <c r="EO27" s="67"/>
      <c r="EP27" s="67"/>
      <c r="EQ27" s="152">
        <v>0</v>
      </c>
      <c r="ER27" s="152">
        <v>0</v>
      </c>
      <c r="ES27" s="74" t="str">
        <f t="shared" si="47"/>
        <v xml:space="preserve"> </v>
      </c>
      <c r="ET27" s="94">
        <v>0</v>
      </c>
      <c r="EU27" s="94"/>
      <c r="EV27" s="94">
        <v>0</v>
      </c>
      <c r="EW27" s="95">
        <v>0</v>
      </c>
      <c r="EX27" s="87"/>
      <c r="EY27" s="83"/>
      <c r="EZ27" s="83"/>
      <c r="FA27" s="82"/>
      <c r="FB27" s="82"/>
      <c r="FC27" s="74" t="str">
        <f t="shared" si="56"/>
        <v xml:space="preserve"> </v>
      </c>
      <c r="FD27" s="92"/>
      <c r="FE27" s="92"/>
      <c r="FF27" s="92"/>
      <c r="FG27" s="92"/>
      <c r="FH27" s="76">
        <f t="shared" si="57"/>
        <v>0</v>
      </c>
      <c r="FI27" s="89"/>
      <c r="FJ27" s="67"/>
      <c r="FK27" s="67"/>
      <c r="FL27" s="78"/>
      <c r="FM27" s="78"/>
      <c r="FN27" s="74" t="str">
        <f t="shared" si="58"/>
        <v xml:space="preserve"> </v>
      </c>
      <c r="FO27" s="94"/>
      <c r="FP27" s="94"/>
      <c r="FQ27" s="94"/>
      <c r="FR27" s="94"/>
      <c r="FS27" s="76">
        <f t="shared" si="59"/>
        <v>0</v>
      </c>
      <c r="FT27" s="87"/>
      <c r="FU27" s="83"/>
      <c r="FV27" s="83"/>
      <c r="FW27" s="82"/>
      <c r="FX27" s="82"/>
      <c r="FY27" s="74" t="str">
        <f t="shared" si="60"/>
        <v xml:space="preserve"> </v>
      </c>
      <c r="FZ27" s="92"/>
      <c r="GA27" s="92"/>
      <c r="GB27" s="92"/>
      <c r="GC27" s="92"/>
      <c r="GD27" s="76">
        <f t="shared" si="61"/>
        <v>0</v>
      </c>
      <c r="GE27" s="62"/>
      <c r="GF27" s="96">
        <v>14.5</v>
      </c>
      <c r="GG27" s="96" t="s">
        <v>236</v>
      </c>
      <c r="GH27" s="63"/>
      <c r="GI27" s="63" t="s">
        <v>221</v>
      </c>
      <c r="GJ27" s="63" t="s">
        <v>221</v>
      </c>
      <c r="GK27" s="97">
        <f t="shared" ref="GK27:GK87" si="84">IFERROR(SUM(GH27:GJ27)," ")</f>
        <v>0</v>
      </c>
      <c r="GL27" s="63" t="s">
        <v>221</v>
      </c>
      <c r="GM27" s="98"/>
      <c r="GN27" s="97">
        <f t="shared" si="79"/>
        <v>0</v>
      </c>
      <c r="GO27" s="97">
        <f t="shared" si="63"/>
        <v>14.5</v>
      </c>
      <c r="GP27" s="62"/>
      <c r="GQ27" s="63" t="s">
        <v>213</v>
      </c>
      <c r="GR27" s="63" t="s">
        <v>213</v>
      </c>
      <c r="GS27" s="63" t="s">
        <v>213</v>
      </c>
      <c r="GT27" s="63" t="s">
        <v>213</v>
      </c>
      <c r="GU27" s="63" t="s">
        <v>213</v>
      </c>
      <c r="GV27" s="63" t="s">
        <v>237</v>
      </c>
      <c r="GW27" s="63" t="s">
        <v>237</v>
      </c>
      <c r="GX27" s="63" t="s">
        <v>237</v>
      </c>
      <c r="GY27" s="65" t="s">
        <v>237</v>
      </c>
      <c r="GZ27" s="65" t="s">
        <v>237</v>
      </c>
      <c r="HA27" s="63" t="s">
        <v>213</v>
      </c>
      <c r="HB27" s="63" t="s">
        <v>213</v>
      </c>
      <c r="HC27" s="63"/>
      <c r="HD27" s="63"/>
      <c r="HE27" s="63"/>
      <c r="HF27" s="63"/>
      <c r="HG27" s="63" t="s">
        <v>213</v>
      </c>
      <c r="HH27" s="63"/>
      <c r="HI27" s="63"/>
      <c r="HJ27" s="63"/>
      <c r="HK27" s="63"/>
      <c r="HL27" s="65" t="s">
        <v>239</v>
      </c>
      <c r="HM27" s="65" t="str">
        <f t="shared" si="66"/>
        <v/>
      </c>
      <c r="HN27" s="65" t="s">
        <v>239</v>
      </c>
      <c r="HO27" s="65" t="s">
        <v>239</v>
      </c>
      <c r="HP27" s="99" t="str">
        <f>IFERROR(IF(OR(JI27&gt;0,JJ27&gt;0,JK27&gt;0),"x",""),"")</f>
        <v/>
      </c>
      <c r="HQ27" s="65" t="s">
        <v>239</v>
      </c>
      <c r="HR27" s="63"/>
      <c r="HS27" s="63" t="s">
        <v>213</v>
      </c>
      <c r="HT27" s="63"/>
      <c r="HU27" s="63" t="s">
        <v>213</v>
      </c>
      <c r="HV27" s="63"/>
      <c r="HW27" s="63"/>
      <c r="HX27" s="63"/>
      <c r="HY27" s="63"/>
      <c r="HZ27" s="63" t="s">
        <v>239</v>
      </c>
      <c r="IA27" s="63" t="s">
        <v>237</v>
      </c>
      <c r="IB27" s="63"/>
      <c r="IC27" s="63" t="s">
        <v>213</v>
      </c>
      <c r="ID27" s="63" t="s">
        <v>240</v>
      </c>
      <c r="IE27" s="63" t="s">
        <v>213</v>
      </c>
      <c r="IF27" s="63" t="s">
        <v>213</v>
      </c>
      <c r="IG27" s="63" t="s">
        <v>213</v>
      </c>
      <c r="IH27" s="63" t="s">
        <v>213</v>
      </c>
      <c r="II27" s="63" t="s">
        <v>213</v>
      </c>
      <c r="IJ27" s="63" t="s">
        <v>213</v>
      </c>
      <c r="IK27" s="63" t="s">
        <v>237</v>
      </c>
      <c r="IL27" s="63"/>
      <c r="IM27" s="62"/>
      <c r="IN27" s="101"/>
      <c r="IO27" s="101"/>
      <c r="IP27" s="63"/>
      <c r="IQ27" s="63"/>
      <c r="IR27" s="63"/>
      <c r="IS27" s="63"/>
      <c r="IT27" s="63"/>
      <c r="IU27" s="96"/>
      <c r="IV27" s="63"/>
      <c r="IW27" s="63"/>
      <c r="IX27" s="63"/>
      <c r="IY27" s="63"/>
      <c r="IZ27" s="63"/>
      <c r="JA27" s="65">
        <f t="shared" si="48"/>
        <v>0</v>
      </c>
      <c r="JB27" s="63"/>
      <c r="JC27" s="101"/>
      <c r="JD27" s="101"/>
      <c r="JE27" s="63"/>
      <c r="JF27" s="63"/>
      <c r="JG27" s="63"/>
      <c r="JH27" s="63"/>
      <c r="JI27" s="63"/>
      <c r="JJ27" s="96"/>
      <c r="JK27" s="63"/>
      <c r="JL27" s="63"/>
      <c r="JM27" s="96"/>
      <c r="JN27" s="63"/>
      <c r="JO27" s="96"/>
      <c r="JP27" s="65">
        <f t="shared" si="29"/>
        <v>0</v>
      </c>
      <c r="JQ27" s="63">
        <f>JJ27-JE27</f>
        <v>0</v>
      </c>
      <c r="LM27" s="205"/>
      <c r="LN27" s="102">
        <f>IFERROR(ROWS($IL$8:IL27)," ")</f>
        <v>20</v>
      </c>
      <c r="LO27" s="103" t="str">
        <f>IFERROR(IF([1]Checklist!$C$3='GenInfo (2)'!E27,'GenInfo (2)'!LN27," ")," ")</f>
        <v xml:space="preserve"> </v>
      </c>
      <c r="LP27" s="104" t="str">
        <f>IFERROR(SMALL($LO$8:$LO$94,ROWS($IL$8:IL27))," ")</f>
        <v xml:space="preserve"> </v>
      </c>
      <c r="LQ27" s="102">
        <f>IFERROR(ROWS($IL$8:IL27)," ")</f>
        <v>20</v>
      </c>
      <c r="LR27" s="103" t="str">
        <f>IFERROR(IF([1]Checklist!$C$4='GenInfo (2)'!E27,'GenInfo (2)'!LQ27," ")," ")</f>
        <v xml:space="preserve"> </v>
      </c>
      <c r="LS27" s="104" t="str">
        <f>IFERROR(SMALL($LR$8:$LR$94,ROWS($IL$8:IL27))," ")</f>
        <v xml:space="preserve"> </v>
      </c>
      <c r="LT27" s="102">
        <f>IFERROR(ROWS($IL$8:IL27)," ")</f>
        <v>20</v>
      </c>
      <c r="LU27" s="103" t="str">
        <f>IFERROR(IF([1]Checklist!$C$5='GenInfo (2)'!E27,'GenInfo (2)'!LT27," ")," ")</f>
        <v xml:space="preserve"> </v>
      </c>
      <c r="LV27" s="104" t="str">
        <f>IFERROR(SMALL($LU$8:$LU$94,ROWS($IL$8:IL27))," ")</f>
        <v xml:space="preserve"> </v>
      </c>
      <c r="LW27" s="102">
        <f>IFERROR(ROWS($IL$8:IL27)," ")</f>
        <v>20</v>
      </c>
      <c r="LX27" s="103" t="str">
        <f>IFERROR(IF([1]Checklist!$C$6='GenInfo (2)'!E27,'GenInfo (2)'!LW27," ")," ")</f>
        <v xml:space="preserve"> </v>
      </c>
      <c r="LY27" s="104" t="str">
        <f>IFERROR(SMALL($LX$8:$LX$94,ROWS($IL$8:IL27))," ")</f>
        <v xml:space="preserve"> </v>
      </c>
      <c r="LZ27" s="102">
        <f>IFERROR(ROWS($IL$8:IL27)," ")</f>
        <v>20</v>
      </c>
      <c r="MA27" s="103" t="str">
        <f>IFERROR(IF([1]Checklist!$C$7='GenInfo (2)'!E27,'GenInfo (2)'!LZ27," ")," ")</f>
        <v xml:space="preserve"> </v>
      </c>
      <c r="MB27" s="104" t="str">
        <f>IFERROR(SMALL($MA$8:$MA$94,ROWS($IL$8:IL27))," ")</f>
        <v xml:space="preserve"> </v>
      </c>
      <c r="MC27" s="102">
        <f>IFERROR(ROWS($IL$8:IL27)," ")</f>
        <v>20</v>
      </c>
      <c r="MD27" s="103" t="str">
        <f>IFERROR(IF([1]Checklist!$C$8='GenInfo (2)'!E27,'GenInfo (2)'!MC27," ")," ")</f>
        <v xml:space="preserve"> </v>
      </c>
      <c r="ME27" s="104" t="str">
        <f>IFERROR(SMALL($MD$8:$MD$94,ROWS($IL$8:IL27))," ")</f>
        <v xml:space="preserve"> </v>
      </c>
      <c r="MF27" s="102">
        <f>IFERROR(ROWS($IL$8:IL27)," ")</f>
        <v>20</v>
      </c>
      <c r="MG27" s="103">
        <f>IFERROR(IF([1]Checklist!$C$9='GenInfo (2)'!E27,'GenInfo (2)'!MF27," ")," ")</f>
        <v>20</v>
      </c>
      <c r="MH27" s="104" t="str">
        <f>IFERROR(SMALL($MG$8:$MG$94,ROWS($IL$8:IL27))," ")</f>
        <v xml:space="preserve"> </v>
      </c>
      <c r="MI27" s="102">
        <f>IFERROR(ROWS($IL$8:$IL27)," ")</f>
        <v>20</v>
      </c>
      <c r="MJ27" s="103" t="str">
        <f>IFERROR(IF([1]Checklist!$C$10='GenInfo (2)'!E27,'GenInfo (2)'!MI27," ")," ")</f>
        <v xml:space="preserve"> </v>
      </c>
      <c r="MK27" s="104" t="str">
        <f>IFERROR(SMALL($MJ$8:$MJ$94,ROWS($IL$8:IL27))," ")</f>
        <v xml:space="preserve"> </v>
      </c>
      <c r="ML27" s="102">
        <f>IFERROR(ROWS($IL$8:IL27)," ")</f>
        <v>20</v>
      </c>
      <c r="MM27" s="103" t="str">
        <f>IFERROR(IF([1]Checklist!$C$11='GenInfo (2)'!E27,'GenInfo (2)'!ML27," ")," ")</f>
        <v xml:space="preserve"> </v>
      </c>
      <c r="MN27" s="104" t="str">
        <f>IFERROR(SMALL($MM$8:$MM$94,ROWS($IL$8:IL27))," ")</f>
        <v xml:space="preserve"> </v>
      </c>
      <c r="MO27" s="102">
        <f>IFERROR(ROWS($IL$8:IL27)," ")</f>
        <v>20</v>
      </c>
      <c r="MP27" s="103" t="str">
        <f>IFERROR(IF([1]Checklist!$C$12='GenInfo (2)'!E27,'GenInfo (2)'!MO27," ")," ")</f>
        <v xml:space="preserve"> </v>
      </c>
      <c r="MQ27" s="104" t="str">
        <f>IFERROR(SMALL($MP$8:$MP$94,ROWS($IL$8:IL27))," ")</f>
        <v xml:space="preserve"> </v>
      </c>
      <c r="MR27" s="102">
        <f>IFERROR(ROWS($IL$8:IL27)," ")</f>
        <v>20</v>
      </c>
      <c r="MS27" s="103" t="str">
        <f>IFERROR(IF([1]Checklist!$C$13='GenInfo (2)'!E27,'GenInfo (2)'!MR27," ")," ")</f>
        <v xml:space="preserve"> </v>
      </c>
      <c r="MT27" s="104" t="str">
        <f>IFERROR(SMALL($MS$8:$MS$94,ROWS($IL$8:IL27))," ")</f>
        <v xml:space="preserve"> </v>
      </c>
      <c r="MU27" s="102">
        <f>IFERROR(ROWS($IL$8:IL27)," ")</f>
        <v>20</v>
      </c>
      <c r="MV27" s="103" t="str">
        <f>IFERROR(IF([1]Checklist!$C$14='GenInfo (2)'!E27,'GenInfo (2)'!MU27," ")," ")</f>
        <v xml:space="preserve"> </v>
      </c>
      <c r="MW27" s="104" t="str">
        <f>IFERROR(SMALL($MV$8:$MV$94,ROWS($IL$8:IL27))," ")</f>
        <v xml:space="preserve"> </v>
      </c>
      <c r="MX27" s="102">
        <f>IFERROR(ROWS($IL$8:IL27)," ")</f>
        <v>20</v>
      </c>
      <c r="MY27" s="103" t="str">
        <f>IFERROR(IF([1]Checklist!$C$15='GenInfo (2)'!E27,'GenInfo (2)'!MX27," ")," ")</f>
        <v xml:space="preserve"> </v>
      </c>
      <c r="MZ27" s="104" t="str">
        <f>IFERROR(SMALL($MY$8:$MY$94,ROWS($IL$8:IL27))," ")</f>
        <v xml:space="preserve"> </v>
      </c>
      <c r="NA27" s="102">
        <f>IFERROR(ROWS($IL$8:IL27)," ")</f>
        <v>20</v>
      </c>
      <c r="NB27" s="103" t="str">
        <f>IFERROR(IF([1]Checklist!$C$16='GenInfo (2)'!E27,'GenInfo (2)'!NA27," ")," ")</f>
        <v xml:space="preserve"> </v>
      </c>
      <c r="NC27" s="104" t="str">
        <f>IFERROR(SMALL($NB$8:$NB$94,ROWS($IL$8:IL27))," ")</f>
        <v xml:space="preserve"> </v>
      </c>
      <c r="ND27" s="102">
        <f>IFERROR(ROWS($IL$8:IL27)," ")</f>
        <v>20</v>
      </c>
      <c r="NE27" s="103" t="str">
        <f>IFERROR(IF([1]Checklist!$C$17='GenInfo (2)'!E27,'GenInfo (2)'!ND27," ")," ")</f>
        <v xml:space="preserve"> </v>
      </c>
      <c r="NF27" s="104" t="str">
        <f>IFERROR(SMALL($NE$8:$NE$94,ROWS($IL$8:IL27))," ")</f>
        <v xml:space="preserve"> </v>
      </c>
    </row>
    <row r="28" spans="1:370" ht="14.85" customHeight="1" x14ac:dyDescent="0.45">
      <c r="A28" s="37" t="s">
        <v>213</v>
      </c>
      <c r="B28" s="37">
        <v>137</v>
      </c>
      <c r="C28" s="146" t="s">
        <v>442</v>
      </c>
      <c r="D28" t="s">
        <v>443</v>
      </c>
      <c r="E28" s="106" t="s">
        <v>444</v>
      </c>
      <c r="F28" s="96" t="s">
        <v>445</v>
      </c>
      <c r="G28" s="107" t="s">
        <v>294</v>
      </c>
      <c r="H28" s="96"/>
      <c r="I28" s="131" t="s">
        <v>446</v>
      </c>
      <c r="J28" s="96" t="s">
        <v>447</v>
      </c>
      <c r="K28" s="111"/>
      <c r="L28" s="108" t="s">
        <v>221</v>
      </c>
      <c r="M28" s="108" t="s">
        <v>221</v>
      </c>
      <c r="N28" s="108"/>
      <c r="O28" s="109" t="s">
        <v>221</v>
      </c>
      <c r="P28" s="108"/>
      <c r="Q28" s="108"/>
      <c r="R28" s="96"/>
      <c r="S28" s="108"/>
      <c r="T28" s="96"/>
      <c r="U28" s="111"/>
      <c r="V28" s="108">
        <v>43518</v>
      </c>
      <c r="W28" s="108">
        <v>43646</v>
      </c>
      <c r="X28" s="110" t="s">
        <v>375</v>
      </c>
      <c r="Y28" s="108">
        <v>43709</v>
      </c>
      <c r="Z28" s="110" t="s">
        <v>375</v>
      </c>
      <c r="AA28" s="111"/>
      <c r="AB28" s="96"/>
      <c r="AC28" s="96"/>
      <c r="AD28" s="96"/>
      <c r="AE28" s="96"/>
      <c r="AF28" s="96"/>
      <c r="AG28" s="96"/>
      <c r="AH28" s="96"/>
      <c r="AI28" s="96"/>
      <c r="AJ28" s="96"/>
      <c r="AK28" s="111"/>
      <c r="AL28" s="71">
        <f t="shared" si="36"/>
        <v>16</v>
      </c>
      <c r="AM28" s="71">
        <f t="shared" ca="1" si="78"/>
        <v>19</v>
      </c>
      <c r="AN28" s="108">
        <v>37511</v>
      </c>
      <c r="AO28" s="72">
        <f t="shared" ca="1" si="38"/>
        <v>19</v>
      </c>
      <c r="AP28" s="96" t="s">
        <v>237</v>
      </c>
      <c r="AQ28" s="73" t="s">
        <v>264</v>
      </c>
      <c r="AR28" s="107" t="s">
        <v>276</v>
      </c>
      <c r="AS28" s="96"/>
      <c r="AT28" s="96"/>
      <c r="AU28" s="96"/>
      <c r="AV28" s="96"/>
      <c r="AW28" s="96"/>
      <c r="AX28" s="96" t="s">
        <v>234</v>
      </c>
      <c r="AY28" s="96" t="s">
        <v>290</v>
      </c>
      <c r="AZ28" s="96" t="s">
        <v>235</v>
      </c>
      <c r="BA28" s="96" t="s">
        <v>235</v>
      </c>
      <c r="BB28" s="96"/>
      <c r="BC28" s="114"/>
      <c r="BD28" s="112"/>
      <c r="BE28" s="71">
        <f t="shared" si="82"/>
        <v>0</v>
      </c>
      <c r="BF28" s="71">
        <f t="shared" si="82"/>
        <v>0</v>
      </c>
      <c r="BG28" s="71">
        <f t="shared" si="40"/>
        <v>0</v>
      </c>
      <c r="BH28" s="74" t="str">
        <f t="shared" si="41"/>
        <v xml:space="preserve"> </v>
      </c>
      <c r="BI28" s="75" t="str">
        <f t="shared" si="42"/>
        <v xml:space="preserve"> </v>
      </c>
      <c r="BJ28" s="71">
        <f t="shared" si="43"/>
        <v>0</v>
      </c>
      <c r="BK28" s="75" t="str">
        <f t="shared" si="44"/>
        <v xml:space="preserve"> </v>
      </c>
      <c r="BL28" s="76">
        <f t="shared" si="83"/>
        <v>0</v>
      </c>
      <c r="BM28" s="77">
        <f t="shared" si="83"/>
        <v>0</v>
      </c>
      <c r="BN28" s="114"/>
      <c r="BO28" s="110"/>
      <c r="BP28" s="110"/>
      <c r="BQ28" s="115"/>
      <c r="BR28" s="115"/>
      <c r="BS28" s="74" t="str">
        <f t="shared" si="49"/>
        <v xml:space="preserve"> </v>
      </c>
      <c r="BT28" s="79">
        <v>0</v>
      </c>
      <c r="BU28" s="79">
        <v>0</v>
      </c>
      <c r="BV28" s="80">
        <v>0</v>
      </c>
      <c r="BW28" s="81">
        <v>0</v>
      </c>
      <c r="BX28" s="116"/>
      <c r="BY28" s="117"/>
      <c r="BZ28" s="117"/>
      <c r="CA28" s="128"/>
      <c r="CB28" s="128"/>
      <c r="CC28" s="74" t="str">
        <f t="shared" si="50"/>
        <v xml:space="preserve"> </v>
      </c>
      <c r="CD28" s="79">
        <v>0</v>
      </c>
      <c r="CE28" s="81">
        <v>0</v>
      </c>
      <c r="CF28" s="119"/>
      <c r="CG28" s="119"/>
      <c r="CH28" s="119"/>
      <c r="CI28" s="114"/>
      <c r="CJ28" s="114"/>
      <c r="CK28" s="74" t="str">
        <f t="shared" si="51"/>
        <v xml:space="preserve"> </v>
      </c>
      <c r="CL28" s="79">
        <v>0</v>
      </c>
      <c r="CM28" s="79">
        <v>0</v>
      </c>
      <c r="CN28" s="86">
        <v>0</v>
      </c>
      <c r="CO28" s="81">
        <v>0</v>
      </c>
      <c r="CP28" s="120"/>
      <c r="CQ28" s="121"/>
      <c r="CR28" s="121"/>
      <c r="CS28" s="116"/>
      <c r="CT28" s="116"/>
      <c r="CU28" s="74" t="str">
        <f t="shared" si="52"/>
        <v xml:space="preserve"> </v>
      </c>
      <c r="CV28" s="79">
        <v>0</v>
      </c>
      <c r="CW28" s="79">
        <v>0</v>
      </c>
      <c r="CX28" s="88">
        <v>0</v>
      </c>
      <c r="CY28" s="81">
        <v>0</v>
      </c>
      <c r="CZ28" s="122"/>
      <c r="DA28" s="108"/>
      <c r="DB28" s="108"/>
      <c r="DC28" s="114"/>
      <c r="DD28" s="114"/>
      <c r="DE28" s="74" t="str">
        <f t="shared" si="53"/>
        <v xml:space="preserve"> </v>
      </c>
      <c r="DF28" s="79">
        <v>0</v>
      </c>
      <c r="DG28" s="79">
        <v>0</v>
      </c>
      <c r="DH28" s="79">
        <v>0</v>
      </c>
      <c r="DI28" s="81">
        <v>0</v>
      </c>
      <c r="DJ28" s="120"/>
      <c r="DK28" s="121"/>
      <c r="DL28" s="121"/>
      <c r="DM28" s="116"/>
      <c r="DN28" s="116"/>
      <c r="DO28" s="74" t="str">
        <f t="shared" si="54"/>
        <v xml:space="preserve"> </v>
      </c>
      <c r="DP28" s="79">
        <v>0</v>
      </c>
      <c r="DQ28" s="79">
        <v>0</v>
      </c>
      <c r="DR28" s="79">
        <v>0</v>
      </c>
      <c r="DS28" s="81">
        <v>0</v>
      </c>
      <c r="DT28" s="122"/>
      <c r="DU28" s="108"/>
      <c r="DV28" s="108"/>
      <c r="DW28" s="114"/>
      <c r="DX28" s="114"/>
      <c r="DY28" s="74" t="str">
        <f t="shared" si="55"/>
        <v xml:space="preserve"> </v>
      </c>
      <c r="DZ28" s="90">
        <v>0</v>
      </c>
      <c r="EA28" s="90">
        <v>0</v>
      </c>
      <c r="EB28" s="90">
        <v>0</v>
      </c>
      <c r="EC28" s="91">
        <v>0</v>
      </c>
      <c r="ED28" s="120"/>
      <c r="EE28" s="121"/>
      <c r="EF28" s="121"/>
      <c r="EG28" s="116"/>
      <c r="EH28" s="116"/>
      <c r="EI28" s="74" t="str">
        <f t="shared" si="46"/>
        <v xml:space="preserve"> </v>
      </c>
      <c r="EJ28" s="92">
        <v>0</v>
      </c>
      <c r="EK28" s="92">
        <v>0</v>
      </c>
      <c r="EL28" s="92">
        <v>0</v>
      </c>
      <c r="EM28" s="93">
        <v>0</v>
      </c>
      <c r="EN28" s="122"/>
      <c r="EO28" s="108"/>
      <c r="EP28" s="108"/>
      <c r="EQ28" s="114"/>
      <c r="ER28" s="114"/>
      <c r="ES28" s="74" t="str">
        <f t="shared" si="47"/>
        <v xml:space="preserve"> </v>
      </c>
      <c r="ET28" s="94">
        <v>0</v>
      </c>
      <c r="EU28" s="90"/>
      <c r="EV28" s="94">
        <v>0</v>
      </c>
      <c r="EW28" s="95">
        <v>0</v>
      </c>
      <c r="EX28" s="120"/>
      <c r="EY28" s="121"/>
      <c r="EZ28" s="121"/>
      <c r="FA28" s="116"/>
      <c r="FB28" s="116"/>
      <c r="FC28" s="74" t="str">
        <f t="shared" si="56"/>
        <v xml:space="preserve"> </v>
      </c>
      <c r="FD28" s="123"/>
      <c r="FE28" s="123"/>
      <c r="FF28" s="123"/>
      <c r="FG28" s="123"/>
      <c r="FH28" s="76">
        <f t="shared" si="57"/>
        <v>0</v>
      </c>
      <c r="FI28" s="122"/>
      <c r="FJ28" s="108"/>
      <c r="FK28" s="108"/>
      <c r="FL28" s="114"/>
      <c r="FM28" s="114"/>
      <c r="FN28" s="74" t="str">
        <f t="shared" si="58"/>
        <v xml:space="preserve"> </v>
      </c>
      <c r="FO28" s="90"/>
      <c r="FP28" s="90"/>
      <c r="FQ28" s="90"/>
      <c r="FR28" s="90"/>
      <c r="FS28" s="76">
        <f t="shared" si="59"/>
        <v>0</v>
      </c>
      <c r="FT28" s="120"/>
      <c r="FU28" s="121"/>
      <c r="FV28" s="121"/>
      <c r="FW28" s="116"/>
      <c r="FX28" s="116"/>
      <c r="FY28" s="74" t="str">
        <f t="shared" si="60"/>
        <v xml:space="preserve"> </v>
      </c>
      <c r="FZ28" s="123"/>
      <c r="GA28" s="123"/>
      <c r="GB28" s="123"/>
      <c r="GC28" s="123"/>
      <c r="GD28" s="76">
        <f t="shared" si="61"/>
        <v>0</v>
      </c>
      <c r="GE28" s="153"/>
      <c r="GF28" s="96">
        <v>0</v>
      </c>
      <c r="GG28" s="96" t="s">
        <v>335</v>
      </c>
      <c r="GH28" s="79"/>
      <c r="GI28" s="63" t="s">
        <v>221</v>
      </c>
      <c r="GJ28" s="63" t="s">
        <v>221</v>
      </c>
      <c r="GK28" s="97">
        <f t="shared" si="84"/>
        <v>0</v>
      </c>
      <c r="GL28" s="63" t="s">
        <v>221</v>
      </c>
      <c r="GM28" s="79"/>
      <c r="GN28" s="97">
        <f t="shared" si="79"/>
        <v>0</v>
      </c>
      <c r="GO28" s="97">
        <f t="shared" si="63"/>
        <v>0</v>
      </c>
      <c r="GP28" s="130"/>
      <c r="GQ28" s="96" t="s">
        <v>213</v>
      </c>
      <c r="GR28" s="96" t="s">
        <v>239</v>
      </c>
      <c r="GS28" s="96" t="s">
        <v>213</v>
      </c>
      <c r="GT28" s="96" t="s">
        <v>323</v>
      </c>
      <c r="GU28" s="96" t="s">
        <v>323</v>
      </c>
      <c r="GV28" s="96" t="s">
        <v>323</v>
      </c>
      <c r="GW28" s="96" t="s">
        <v>323</v>
      </c>
      <c r="GX28" s="96" t="s">
        <v>213</v>
      </c>
      <c r="GY28" s="65" t="s">
        <v>239</v>
      </c>
      <c r="GZ28" s="65" t="s">
        <v>239</v>
      </c>
      <c r="HA28" s="100" t="s">
        <v>213</v>
      </c>
      <c r="HB28" s="100" t="s">
        <v>213</v>
      </c>
      <c r="HC28" s="100">
        <v>0</v>
      </c>
      <c r="HD28" s="100">
        <v>0</v>
      </c>
      <c r="HE28" s="100">
        <v>0</v>
      </c>
      <c r="HF28" s="100">
        <v>0</v>
      </c>
      <c r="HG28" s="100" t="s">
        <v>213</v>
      </c>
      <c r="HH28" s="100">
        <v>0</v>
      </c>
      <c r="HI28" s="100">
        <v>0</v>
      </c>
      <c r="HJ28" s="100">
        <v>1</v>
      </c>
      <c r="HK28" s="100">
        <v>0</v>
      </c>
      <c r="HL28" s="65" t="s">
        <v>239</v>
      </c>
      <c r="HM28" s="65" t="str">
        <f t="shared" si="66"/>
        <v/>
      </c>
      <c r="HN28" s="65" t="str">
        <f t="shared" ref="HN28:HN33" si="85">IFERROR(IF(OR(IW28&gt;0,IX28&gt;0,IY28&gt;0,IZ28&gt;0),"x",""),"")</f>
        <v/>
      </c>
      <c r="HO28" s="65" t="s">
        <v>239</v>
      </c>
      <c r="HP28" s="65" t="s">
        <v>239</v>
      </c>
      <c r="HQ28" s="65" t="s">
        <v>239</v>
      </c>
      <c r="HR28" s="96"/>
      <c r="HS28" s="96"/>
      <c r="HT28" s="96"/>
      <c r="HU28" s="96"/>
      <c r="HV28" s="96"/>
      <c r="HW28" s="96"/>
      <c r="HX28" s="96"/>
      <c r="HY28" s="96"/>
      <c r="HZ28" s="96"/>
      <c r="IA28" s="96"/>
      <c r="IB28" s="96"/>
      <c r="IC28" s="96" t="s">
        <v>237</v>
      </c>
      <c r="ID28" s="96" t="s">
        <v>240</v>
      </c>
      <c r="IE28" s="100"/>
      <c r="IF28" s="100"/>
      <c r="IG28" s="100"/>
      <c r="IH28" s="100"/>
      <c r="II28" s="100"/>
      <c r="IJ28" s="100"/>
      <c r="IK28" s="100"/>
      <c r="IL28" s="100">
        <v>0</v>
      </c>
      <c r="IM28" s="111"/>
      <c r="IN28" s="125"/>
      <c r="IO28" s="125"/>
      <c r="IP28" s="96"/>
      <c r="IQ28" s="96"/>
      <c r="IR28" s="96"/>
      <c r="IS28" s="96"/>
      <c r="IT28" s="96"/>
      <c r="IU28" s="96"/>
      <c r="IV28" s="96"/>
      <c r="IW28" s="96"/>
      <c r="IX28" s="96"/>
      <c r="IY28" s="96"/>
      <c r="IZ28" s="96"/>
      <c r="JA28" s="65">
        <f t="shared" si="48"/>
        <v>0</v>
      </c>
      <c r="JB28" s="96"/>
      <c r="JC28" s="125"/>
      <c r="JD28" s="125"/>
      <c r="JE28" s="96"/>
      <c r="JF28" s="96"/>
      <c r="JG28" s="96"/>
      <c r="JH28" s="96"/>
      <c r="JI28" s="96"/>
      <c r="JJ28" s="96"/>
      <c r="JK28" s="96"/>
      <c r="JL28" s="96"/>
      <c r="JM28" s="96"/>
      <c r="JN28" s="96"/>
      <c r="JO28" s="96"/>
      <c r="JP28" s="65">
        <f t="shared" si="29"/>
        <v>0</v>
      </c>
      <c r="JQ28" s="96"/>
      <c r="LM28" s="205"/>
      <c r="LN28" s="102">
        <f>IFERROR(ROWS($IL$8:IL28)," ")</f>
        <v>21</v>
      </c>
      <c r="LO28" s="103" t="str">
        <f>IFERROR(IF([1]Checklist!$C$3='GenInfo (2)'!E28,'GenInfo (2)'!LN28," ")," ")</f>
        <v xml:space="preserve"> </v>
      </c>
      <c r="LP28" s="104" t="str">
        <f>IFERROR(SMALL($LO$8:$LO$94,ROWS($IL$8:IL28))," ")</f>
        <v xml:space="preserve"> </v>
      </c>
      <c r="LQ28" s="102">
        <f>IFERROR(ROWS($IL$8:IL28)," ")</f>
        <v>21</v>
      </c>
      <c r="LR28" s="103" t="str">
        <f>IFERROR(IF([1]Checklist!$C$4='GenInfo (2)'!E28,'GenInfo (2)'!LQ28," ")," ")</f>
        <v xml:space="preserve"> </v>
      </c>
      <c r="LS28" s="104" t="str">
        <f>IFERROR(SMALL($LR$8:$LR$94,ROWS($IL$8:IL28))," ")</f>
        <v xml:space="preserve"> </v>
      </c>
      <c r="LT28" s="102">
        <f>IFERROR(ROWS($IL$8:IL28)," ")</f>
        <v>21</v>
      </c>
      <c r="LU28" s="103" t="str">
        <f>IFERROR(IF([1]Checklist!$C$5='GenInfo (2)'!E28,'GenInfo (2)'!LT28," ")," ")</f>
        <v xml:space="preserve"> </v>
      </c>
      <c r="LV28" s="104" t="str">
        <f>IFERROR(SMALL($LU$8:$LU$94,ROWS($IL$8:IL28))," ")</f>
        <v xml:space="preserve"> </v>
      </c>
      <c r="LW28" s="102">
        <f>IFERROR(ROWS($IL$8:IL28)," ")</f>
        <v>21</v>
      </c>
      <c r="LX28" s="103" t="str">
        <f>IFERROR(IF([1]Checklist!$C$6='GenInfo (2)'!E28,'GenInfo (2)'!LW28," ")," ")</f>
        <v xml:space="preserve"> </v>
      </c>
      <c r="LY28" s="104" t="str">
        <f>IFERROR(SMALL($LX$8:$LX$94,ROWS($IL$8:IL28))," ")</f>
        <v xml:space="preserve"> </v>
      </c>
      <c r="LZ28" s="102">
        <f>IFERROR(ROWS($IL$8:IL28)," ")</f>
        <v>21</v>
      </c>
      <c r="MA28" s="103" t="str">
        <f>IFERROR(IF([1]Checklist!$C$7='GenInfo (2)'!E28,'GenInfo (2)'!LZ28," ")," ")</f>
        <v xml:space="preserve"> </v>
      </c>
      <c r="MB28" s="104" t="str">
        <f>IFERROR(SMALL($MA$8:$MA$94,ROWS($IL$8:IL28))," ")</f>
        <v xml:space="preserve"> </v>
      </c>
      <c r="MC28" s="102">
        <f>IFERROR(ROWS($IL$8:IL28)," ")</f>
        <v>21</v>
      </c>
      <c r="MD28" s="103" t="str">
        <f>IFERROR(IF([1]Checklist!$C$8='GenInfo (2)'!E28,'GenInfo (2)'!MC28," ")," ")</f>
        <v xml:space="preserve"> </v>
      </c>
      <c r="ME28" s="104" t="str">
        <f>IFERROR(SMALL($MD$8:$MD$94,ROWS($IL$8:IL28))," ")</f>
        <v xml:space="preserve"> </v>
      </c>
      <c r="MF28" s="102">
        <f>IFERROR(ROWS($IL$8:IL28)," ")</f>
        <v>21</v>
      </c>
      <c r="MG28" s="103" t="str">
        <f>IFERROR(IF([1]Checklist!$C$9='GenInfo (2)'!E28,'GenInfo (2)'!MF28," ")," ")</f>
        <v xml:space="preserve"> </v>
      </c>
      <c r="MH28" s="104" t="str">
        <f>IFERROR(SMALL($MG$8:$MG$94,ROWS($IL$8:IL28))," ")</f>
        <v xml:space="preserve"> </v>
      </c>
      <c r="MI28" s="102">
        <f>IFERROR(ROWS($IL$8:$IL28)," ")</f>
        <v>21</v>
      </c>
      <c r="MJ28" s="103">
        <f>IFERROR(IF([1]Checklist!$C$10='GenInfo (2)'!E28,'GenInfo (2)'!MI28," ")," ")</f>
        <v>21</v>
      </c>
      <c r="MK28" s="104" t="str">
        <f>IFERROR(SMALL($MJ$8:$MJ$94,ROWS($IL$8:IL28))," ")</f>
        <v xml:space="preserve"> </v>
      </c>
      <c r="ML28" s="102">
        <f>IFERROR(ROWS($IL$8:IL28)," ")</f>
        <v>21</v>
      </c>
      <c r="MM28" s="103" t="str">
        <f>IFERROR(IF([1]Checklist!$C$11='GenInfo (2)'!E28,'GenInfo (2)'!ML28," ")," ")</f>
        <v xml:space="preserve"> </v>
      </c>
      <c r="MN28" s="104" t="str">
        <f>IFERROR(SMALL($MM$8:$MM$94,ROWS($IL$8:IL28))," ")</f>
        <v xml:space="preserve"> </v>
      </c>
      <c r="MO28" s="102">
        <f>IFERROR(ROWS($IL$8:IL28)," ")</f>
        <v>21</v>
      </c>
      <c r="MP28" s="103" t="str">
        <f>IFERROR(IF([1]Checklist!$C$12='GenInfo (2)'!E28,'GenInfo (2)'!MO28," ")," ")</f>
        <v xml:space="preserve"> </v>
      </c>
      <c r="MQ28" s="104" t="str">
        <f>IFERROR(SMALL($MP$8:$MP$94,ROWS($IL$8:IL28))," ")</f>
        <v xml:space="preserve"> </v>
      </c>
      <c r="MR28" s="102">
        <f>IFERROR(ROWS($IL$8:IL28)," ")</f>
        <v>21</v>
      </c>
      <c r="MS28" s="103" t="str">
        <f>IFERROR(IF([1]Checklist!$C$13='GenInfo (2)'!E28,'GenInfo (2)'!MR28," ")," ")</f>
        <v xml:space="preserve"> </v>
      </c>
      <c r="MT28" s="104" t="str">
        <f>IFERROR(SMALL($MS$8:$MS$94,ROWS($IL$8:IL28))," ")</f>
        <v xml:space="preserve"> </v>
      </c>
      <c r="MU28" s="102">
        <f>IFERROR(ROWS($IL$8:IL28)," ")</f>
        <v>21</v>
      </c>
      <c r="MV28" s="103" t="str">
        <f>IFERROR(IF([1]Checklist!$C$14='GenInfo (2)'!E28,'GenInfo (2)'!MU28," ")," ")</f>
        <v xml:space="preserve"> </v>
      </c>
      <c r="MW28" s="104" t="str">
        <f>IFERROR(SMALL($MV$8:$MV$94,ROWS($IL$8:IL28))," ")</f>
        <v xml:space="preserve"> </v>
      </c>
      <c r="MX28" s="102">
        <f>IFERROR(ROWS($IL$8:IL28)," ")</f>
        <v>21</v>
      </c>
      <c r="MY28" s="103" t="str">
        <f>IFERROR(IF([1]Checklist!$C$15='GenInfo (2)'!E28,'GenInfo (2)'!MX28," ")," ")</f>
        <v xml:space="preserve"> </v>
      </c>
      <c r="MZ28" s="104" t="str">
        <f>IFERROR(SMALL($MY$8:$MY$94,ROWS($IL$8:IL28))," ")</f>
        <v xml:space="preserve"> </v>
      </c>
      <c r="NA28" s="102">
        <f>IFERROR(ROWS($IL$8:IL28)," ")</f>
        <v>21</v>
      </c>
      <c r="NB28" s="103" t="str">
        <f>IFERROR(IF([1]Checklist!$C$16='GenInfo (2)'!E28,'GenInfo (2)'!NA28," ")," ")</f>
        <v xml:space="preserve"> </v>
      </c>
      <c r="NC28" s="104" t="str">
        <f>IFERROR(SMALL($NB$8:$NB$94,ROWS($IL$8:IL28))," ")</f>
        <v xml:space="preserve"> </v>
      </c>
      <c r="ND28" s="102">
        <f>IFERROR(ROWS($IL$8:IL28)," ")</f>
        <v>21</v>
      </c>
      <c r="NE28" s="103" t="str">
        <f>IFERROR(IF([1]Checklist!$C$17='GenInfo (2)'!E28,'GenInfo (2)'!ND28," ")," ")</f>
        <v xml:space="preserve"> </v>
      </c>
      <c r="NF28" s="104" t="str">
        <f>IFERROR(SMALL($NE$8:$NE$94,ROWS($IL$8:IL28))," ")</f>
        <v xml:space="preserve"> </v>
      </c>
    </row>
    <row r="29" spans="1:370" ht="14.25" x14ac:dyDescent="0.45">
      <c r="A29" s="37" t="s">
        <v>213</v>
      </c>
      <c r="B29" s="37">
        <v>152</v>
      </c>
      <c r="C29" s="146" t="s">
        <v>448</v>
      </c>
      <c r="D29" t="s">
        <v>449</v>
      </c>
      <c r="E29" s="64" t="s">
        <v>444</v>
      </c>
      <c r="F29" s="63" t="s">
        <v>450</v>
      </c>
      <c r="G29" s="64" t="s">
        <v>267</v>
      </c>
      <c r="H29" s="63"/>
      <c r="I29" s="132" t="s">
        <v>451</v>
      </c>
      <c r="J29" s="63" t="s">
        <v>452</v>
      </c>
      <c r="K29" s="62"/>
      <c r="L29" s="67">
        <v>43712</v>
      </c>
      <c r="M29" s="67">
        <v>43713</v>
      </c>
      <c r="N29" s="67" t="s">
        <v>213</v>
      </c>
      <c r="O29" s="109">
        <v>43709</v>
      </c>
      <c r="P29" s="67">
        <v>43717</v>
      </c>
      <c r="Q29" s="67">
        <v>43747</v>
      </c>
      <c r="R29" s="63" t="s">
        <v>269</v>
      </c>
      <c r="S29" s="67">
        <v>43728</v>
      </c>
      <c r="T29" s="63" t="s">
        <v>453</v>
      </c>
      <c r="U29" s="62"/>
      <c r="V29" s="63"/>
      <c r="W29" s="63"/>
      <c r="X29" s="69"/>
      <c r="Y29" s="67"/>
      <c r="Z29" s="69"/>
      <c r="AA29" s="62"/>
      <c r="AB29" s="63" t="s">
        <v>454</v>
      </c>
      <c r="AC29" s="63" t="s">
        <v>455</v>
      </c>
      <c r="AD29" s="126" t="s">
        <v>456</v>
      </c>
      <c r="AE29" s="63" t="s">
        <v>457</v>
      </c>
      <c r="AF29" s="63" t="s">
        <v>458</v>
      </c>
      <c r="AG29" s="63"/>
      <c r="AH29" s="63" t="s">
        <v>251</v>
      </c>
      <c r="AI29" s="63" t="s">
        <v>230</v>
      </c>
      <c r="AJ29" s="63">
        <v>60618</v>
      </c>
      <c r="AK29" s="62"/>
      <c r="AL29" s="71" t="str">
        <f t="shared" si="36"/>
        <v/>
      </c>
      <c r="AM29" s="71">
        <f ca="1">IFERROR(DATEDIF($AN29,TODAY(),"y"),"")</f>
        <v>21</v>
      </c>
      <c r="AN29" s="67">
        <v>36848</v>
      </c>
      <c r="AO29" s="72" t="str">
        <f t="shared" ca="1" si="38"/>
        <v/>
      </c>
      <c r="AP29" s="63" t="s">
        <v>231</v>
      </c>
      <c r="AQ29" s="73" t="s">
        <v>264</v>
      </c>
      <c r="AR29" s="70" t="s">
        <v>288</v>
      </c>
      <c r="AS29" s="63">
        <v>5</v>
      </c>
      <c r="AT29" s="63">
        <v>365</v>
      </c>
      <c r="AU29" s="63">
        <v>5</v>
      </c>
      <c r="AV29" s="63">
        <v>20</v>
      </c>
      <c r="AW29" s="63">
        <v>30</v>
      </c>
      <c r="AX29" s="63" t="s">
        <v>351</v>
      </c>
      <c r="AY29" s="63" t="s">
        <v>290</v>
      </c>
      <c r="AZ29" s="63" t="s">
        <v>254</v>
      </c>
      <c r="BA29" s="63" t="s">
        <v>254</v>
      </c>
      <c r="BB29" s="63"/>
      <c r="BC29" s="63"/>
      <c r="BD29" s="62"/>
      <c r="BE29" s="71">
        <f t="shared" si="82"/>
        <v>0</v>
      </c>
      <c r="BF29" s="71">
        <f t="shared" si="82"/>
        <v>0</v>
      </c>
      <c r="BG29" s="71">
        <f t="shared" si="40"/>
        <v>0</v>
      </c>
      <c r="BH29" s="74" t="str">
        <f t="shared" si="41"/>
        <v xml:space="preserve"> </v>
      </c>
      <c r="BI29" s="75" t="str">
        <f t="shared" si="42"/>
        <v xml:space="preserve"> </v>
      </c>
      <c r="BJ29" s="71">
        <f t="shared" si="43"/>
        <v>0</v>
      </c>
      <c r="BK29" s="75" t="str">
        <f t="shared" si="44"/>
        <v xml:space="preserve"> </v>
      </c>
      <c r="BL29" s="76">
        <f t="shared" si="83"/>
        <v>0</v>
      </c>
      <c r="BM29" s="77">
        <f t="shared" si="83"/>
        <v>0</v>
      </c>
      <c r="BN29" s="78"/>
      <c r="BO29" s="67"/>
      <c r="BP29" s="67"/>
      <c r="BQ29" s="63"/>
      <c r="BR29" s="63"/>
      <c r="BS29" s="74" t="str">
        <f t="shared" si="49"/>
        <v xml:space="preserve"> </v>
      </c>
      <c r="BT29" s="79">
        <v>0</v>
      </c>
      <c r="BU29" s="79">
        <v>0</v>
      </c>
      <c r="BV29" s="80">
        <v>0</v>
      </c>
      <c r="BW29" s="81">
        <v>0</v>
      </c>
      <c r="BX29" s="82"/>
      <c r="BY29" s="83"/>
      <c r="BZ29" s="83"/>
      <c r="CA29" s="84"/>
      <c r="CB29" s="84"/>
      <c r="CC29" s="74" t="str">
        <f t="shared" si="50"/>
        <v xml:space="preserve"> </v>
      </c>
      <c r="CD29" s="79">
        <v>0</v>
      </c>
      <c r="CE29" s="81">
        <v>0</v>
      </c>
      <c r="CF29" s="85"/>
      <c r="CG29" s="85"/>
      <c r="CH29" s="85"/>
      <c r="CI29" s="78"/>
      <c r="CJ29" s="78"/>
      <c r="CK29" s="74" t="str">
        <f t="shared" si="51"/>
        <v xml:space="preserve"> </v>
      </c>
      <c r="CL29" s="79">
        <v>0</v>
      </c>
      <c r="CM29" s="79">
        <v>0</v>
      </c>
      <c r="CN29" s="86">
        <v>0</v>
      </c>
      <c r="CO29" s="81">
        <v>0</v>
      </c>
      <c r="CP29" s="87"/>
      <c r="CQ29" s="83"/>
      <c r="CR29" s="83"/>
      <c r="CS29" s="82"/>
      <c r="CT29" s="82"/>
      <c r="CU29" s="74" t="str">
        <f t="shared" si="52"/>
        <v xml:space="preserve"> </v>
      </c>
      <c r="CV29" s="79">
        <v>0</v>
      </c>
      <c r="CW29" s="79">
        <v>0</v>
      </c>
      <c r="CX29" s="88">
        <v>0</v>
      </c>
      <c r="CY29" s="81">
        <v>0</v>
      </c>
      <c r="CZ29" s="89"/>
      <c r="DA29" s="67"/>
      <c r="DB29" s="67"/>
      <c r="DC29" s="78"/>
      <c r="DD29" s="78"/>
      <c r="DE29" s="74" t="str">
        <f t="shared" si="53"/>
        <v xml:space="preserve"> </v>
      </c>
      <c r="DF29" s="79">
        <v>0</v>
      </c>
      <c r="DG29" s="79">
        <v>0</v>
      </c>
      <c r="DH29" s="79">
        <v>0</v>
      </c>
      <c r="DI29" s="81">
        <v>0</v>
      </c>
      <c r="DJ29" s="87"/>
      <c r="DK29" s="83"/>
      <c r="DL29" s="83"/>
      <c r="DM29" s="82"/>
      <c r="DN29" s="82"/>
      <c r="DO29" s="74" t="str">
        <f t="shared" si="54"/>
        <v xml:space="preserve"> </v>
      </c>
      <c r="DP29" s="79">
        <v>0</v>
      </c>
      <c r="DQ29" s="79">
        <v>0</v>
      </c>
      <c r="DR29" s="79">
        <v>0</v>
      </c>
      <c r="DS29" s="81">
        <v>0</v>
      </c>
      <c r="DT29" s="89"/>
      <c r="DU29" s="67"/>
      <c r="DV29" s="67"/>
      <c r="DW29" s="78"/>
      <c r="DX29" s="78"/>
      <c r="DY29" s="74" t="str">
        <f t="shared" si="55"/>
        <v xml:space="preserve"> </v>
      </c>
      <c r="DZ29" s="90">
        <v>0</v>
      </c>
      <c r="EA29" s="90">
        <v>0</v>
      </c>
      <c r="EB29" s="90">
        <v>0</v>
      </c>
      <c r="EC29" s="91">
        <v>0</v>
      </c>
      <c r="ED29" s="87"/>
      <c r="EE29" s="83"/>
      <c r="EF29" s="83"/>
      <c r="EG29" s="82"/>
      <c r="EH29" s="82"/>
      <c r="EI29" s="74" t="str">
        <f t="shared" si="46"/>
        <v xml:space="preserve"> </v>
      </c>
      <c r="EJ29" s="92">
        <v>0</v>
      </c>
      <c r="EK29" s="92">
        <v>0</v>
      </c>
      <c r="EL29" s="92">
        <v>0</v>
      </c>
      <c r="EM29" s="93">
        <v>0</v>
      </c>
      <c r="EN29" s="89"/>
      <c r="EO29" s="67"/>
      <c r="EP29" s="67"/>
      <c r="EQ29" s="78"/>
      <c r="ER29" s="78"/>
      <c r="ES29" s="74" t="str">
        <f t="shared" si="47"/>
        <v xml:space="preserve"> </v>
      </c>
      <c r="ET29" s="94">
        <v>0</v>
      </c>
      <c r="EU29" s="94"/>
      <c r="EV29" s="94">
        <v>0</v>
      </c>
      <c r="EW29" s="95">
        <v>0</v>
      </c>
      <c r="EX29" s="87"/>
      <c r="EY29" s="83"/>
      <c r="EZ29" s="83"/>
      <c r="FA29" s="82"/>
      <c r="FB29" s="82"/>
      <c r="FC29" s="74" t="str">
        <f t="shared" si="56"/>
        <v xml:space="preserve"> </v>
      </c>
      <c r="FD29" s="92"/>
      <c r="FE29" s="92"/>
      <c r="FF29" s="92"/>
      <c r="FG29" s="92"/>
      <c r="FH29" s="76">
        <f t="shared" si="57"/>
        <v>0</v>
      </c>
      <c r="FI29" s="89"/>
      <c r="FJ29" s="67"/>
      <c r="FK29" s="67"/>
      <c r="FL29" s="78"/>
      <c r="FM29" s="78"/>
      <c r="FN29" s="74" t="str">
        <f t="shared" si="58"/>
        <v xml:space="preserve"> </v>
      </c>
      <c r="FO29" s="94"/>
      <c r="FP29" s="94"/>
      <c r="FQ29" s="94"/>
      <c r="FR29" s="94"/>
      <c r="FS29" s="76">
        <f t="shared" si="59"/>
        <v>0</v>
      </c>
      <c r="FT29" s="87"/>
      <c r="FU29" s="83"/>
      <c r="FV29" s="83"/>
      <c r="FW29" s="82"/>
      <c r="FX29" s="82"/>
      <c r="FY29" s="74" t="str">
        <f t="shared" si="60"/>
        <v xml:space="preserve"> </v>
      </c>
      <c r="FZ29" s="92"/>
      <c r="GA29" s="92"/>
      <c r="GB29" s="92"/>
      <c r="GC29" s="92"/>
      <c r="GD29" s="76">
        <f t="shared" si="61"/>
        <v>0</v>
      </c>
      <c r="GE29" s="62"/>
      <c r="GF29" s="96">
        <v>6.5</v>
      </c>
      <c r="GG29" s="96" t="s">
        <v>351</v>
      </c>
      <c r="GH29" s="63"/>
      <c r="GI29" s="63" t="s">
        <v>221</v>
      </c>
      <c r="GJ29" s="63" t="s">
        <v>221</v>
      </c>
      <c r="GK29" s="97">
        <f t="shared" si="84"/>
        <v>0</v>
      </c>
      <c r="GL29" s="63" t="s">
        <v>221</v>
      </c>
      <c r="GM29" s="98"/>
      <c r="GN29" s="97">
        <f t="shared" si="79"/>
        <v>0</v>
      </c>
      <c r="GO29" s="97">
        <f t="shared" si="63"/>
        <v>6.5</v>
      </c>
      <c r="GP29" s="62"/>
      <c r="GQ29" s="63" t="s">
        <v>459</v>
      </c>
      <c r="GR29" s="63"/>
      <c r="GS29" s="63"/>
      <c r="GT29" s="63"/>
      <c r="GU29" s="63"/>
      <c r="GV29" s="63"/>
      <c r="GW29" s="63"/>
      <c r="GX29" s="63"/>
      <c r="GY29" s="65" t="str">
        <f>IFERROR(IF(IN29&gt;0,"X",""),"")</f>
        <v/>
      </c>
      <c r="GZ29" s="65" t="str">
        <f>IFERROR(IF(JC29&gt;0,"X",""),"")</f>
        <v/>
      </c>
      <c r="HA29" s="63"/>
      <c r="HB29" s="63"/>
      <c r="HC29" s="63"/>
      <c r="HD29" s="63"/>
      <c r="HE29" s="63"/>
      <c r="HF29" s="63"/>
      <c r="HG29" s="63"/>
      <c r="HH29" s="63"/>
      <c r="HI29" s="63"/>
      <c r="HJ29" s="63"/>
      <c r="HK29" s="63"/>
      <c r="HL29" s="65" t="str">
        <f t="shared" ref="HL29:HL33" si="86">IFERROR(IF(OR(IQ29&gt;0,IR29&gt;0,IS29&gt;0),"x",""),"")</f>
        <v/>
      </c>
      <c r="HM29" s="65" t="str">
        <f t="shared" si="66"/>
        <v/>
      </c>
      <c r="HN29" s="65" t="str">
        <f t="shared" si="85"/>
        <v/>
      </c>
      <c r="HO29" s="65" t="str">
        <f t="shared" ref="HO29:HO32" si="87">IFERROR(IF(OR(JE29&gt;0,JF29&gt;0,JG29&gt;0,JH29&gt;0),"x",""),"")</f>
        <v/>
      </c>
      <c r="HP29" s="99" t="str">
        <f t="shared" ref="HP29:HP33" si="88">IFERROR(IF(OR(JI29&gt;0,JJ29&gt;0,JK29&gt;0),"x",""),"")</f>
        <v/>
      </c>
      <c r="HQ29" s="99" t="str">
        <f>IFERROR(IF(OR(JL29&gt;0,JM29&gt;0,JN29&gt;0,JO29&gt;0),"x",""),"")</f>
        <v/>
      </c>
      <c r="HR29" s="63"/>
      <c r="HS29" s="63"/>
      <c r="HT29" s="63"/>
      <c r="HU29" s="63"/>
      <c r="HV29" s="63"/>
      <c r="HW29" s="63"/>
      <c r="HX29" s="63"/>
      <c r="HY29" s="63"/>
      <c r="HZ29" s="63"/>
      <c r="IA29" s="63"/>
      <c r="IB29" s="63"/>
      <c r="IC29" s="63"/>
      <c r="ID29" s="63"/>
      <c r="IE29" s="63"/>
      <c r="IF29" s="63"/>
      <c r="IG29" s="63"/>
      <c r="IH29" s="63"/>
      <c r="II29" s="63"/>
      <c r="IJ29" s="63"/>
      <c r="IK29" s="63"/>
      <c r="IL29" s="63"/>
      <c r="IM29" s="62"/>
      <c r="IN29" s="101"/>
      <c r="IO29" s="101"/>
      <c r="IP29" s="63"/>
      <c r="IQ29" s="63"/>
      <c r="IR29" s="63"/>
      <c r="IS29" s="63"/>
      <c r="IT29" s="63"/>
      <c r="IU29" s="63"/>
      <c r="IV29" s="63"/>
      <c r="IW29" s="63"/>
      <c r="IX29" s="63"/>
      <c r="IY29" s="63"/>
      <c r="IZ29" s="63"/>
      <c r="JA29" s="65">
        <f t="shared" si="48"/>
        <v>0</v>
      </c>
      <c r="JB29" s="63"/>
      <c r="JC29" s="101"/>
      <c r="JD29" s="101"/>
      <c r="JE29" s="63"/>
      <c r="JF29" s="63"/>
      <c r="JG29" s="63"/>
      <c r="JH29" s="63"/>
      <c r="JI29" s="63"/>
      <c r="JJ29" s="63"/>
      <c r="JK29" s="63"/>
      <c r="JL29" s="63"/>
      <c r="JM29" s="96"/>
      <c r="JN29" s="96"/>
      <c r="JO29" s="63"/>
      <c r="JP29" s="65">
        <f t="shared" si="29"/>
        <v>0</v>
      </c>
      <c r="JQ29" s="96"/>
      <c r="LM29" s="205"/>
      <c r="LN29" s="102">
        <f>IFERROR(ROWS($IL$8:IL29)," ")</f>
        <v>22</v>
      </c>
      <c r="LO29" s="103" t="str">
        <f>IFERROR(IF([1]Checklist!$C$3='GenInfo (2)'!E29,'GenInfo (2)'!LN29," ")," ")</f>
        <v xml:space="preserve"> </v>
      </c>
      <c r="LP29" s="104" t="str">
        <f>IFERROR(SMALL($LO$8:$LO$94,ROWS($IL$8:IL29))," ")</f>
        <v xml:space="preserve"> </v>
      </c>
      <c r="LQ29" s="102">
        <f>IFERROR(ROWS($IL$8:IL29)," ")</f>
        <v>22</v>
      </c>
      <c r="LR29" s="103" t="str">
        <f>IFERROR(IF([1]Checklist!$C$4='GenInfo (2)'!E29,'GenInfo (2)'!LQ29," ")," ")</f>
        <v xml:space="preserve"> </v>
      </c>
      <c r="LS29" s="104" t="str">
        <f>IFERROR(SMALL($LR$8:$LR$94,ROWS($IL$8:IL29))," ")</f>
        <v xml:space="preserve"> </v>
      </c>
      <c r="LT29" s="102">
        <f>IFERROR(ROWS($IL$8:IL29)," ")</f>
        <v>22</v>
      </c>
      <c r="LU29" s="103" t="str">
        <f>IFERROR(IF([1]Checklist!$C$5='GenInfo (2)'!E29,'GenInfo (2)'!LT29," ")," ")</f>
        <v xml:space="preserve"> </v>
      </c>
      <c r="LV29" s="104" t="str">
        <f>IFERROR(SMALL($LU$8:$LU$94,ROWS($IL$8:IL29))," ")</f>
        <v xml:space="preserve"> </v>
      </c>
      <c r="LW29" s="102">
        <f>IFERROR(ROWS($IL$8:IL29)," ")</f>
        <v>22</v>
      </c>
      <c r="LX29" s="103" t="str">
        <f>IFERROR(IF([1]Checklist!$C$6='GenInfo (2)'!E29,'GenInfo (2)'!LW29," ")," ")</f>
        <v xml:space="preserve"> </v>
      </c>
      <c r="LY29" s="104" t="str">
        <f>IFERROR(SMALL($LX$8:$LX$94,ROWS($IL$8:IL29))," ")</f>
        <v xml:space="preserve"> </v>
      </c>
      <c r="LZ29" s="102">
        <f>IFERROR(ROWS($IL$8:IL29)," ")</f>
        <v>22</v>
      </c>
      <c r="MA29" s="103" t="str">
        <f>IFERROR(IF([1]Checklist!$C$7='GenInfo (2)'!E29,'GenInfo (2)'!LZ29," ")," ")</f>
        <v xml:space="preserve"> </v>
      </c>
      <c r="MB29" s="104" t="str">
        <f>IFERROR(SMALL($MA$8:$MA$94,ROWS($IL$8:IL29))," ")</f>
        <v xml:space="preserve"> </v>
      </c>
      <c r="MC29" s="102">
        <f>IFERROR(ROWS($IL$8:IL29)," ")</f>
        <v>22</v>
      </c>
      <c r="MD29" s="103" t="str">
        <f>IFERROR(IF([1]Checklist!$C$8='GenInfo (2)'!E29,'GenInfo (2)'!MC29," ")," ")</f>
        <v xml:space="preserve"> </v>
      </c>
      <c r="ME29" s="104" t="str">
        <f>IFERROR(SMALL($MD$8:$MD$94,ROWS($IL$8:IL29))," ")</f>
        <v xml:space="preserve"> </v>
      </c>
      <c r="MF29" s="102">
        <f>IFERROR(ROWS($IL$8:IL29)," ")</f>
        <v>22</v>
      </c>
      <c r="MG29" s="103" t="str">
        <f>IFERROR(IF([1]Checklist!$C$9='GenInfo (2)'!E29,'GenInfo (2)'!MF29," ")," ")</f>
        <v xml:space="preserve"> </v>
      </c>
      <c r="MH29" s="104" t="str">
        <f>IFERROR(SMALL($MG$8:$MG$94,ROWS($IL$8:IL29))," ")</f>
        <v xml:space="preserve"> </v>
      </c>
      <c r="MI29" s="102">
        <f>IFERROR(ROWS($IL$8:$IL29)," ")</f>
        <v>22</v>
      </c>
      <c r="MJ29" s="103">
        <f>IFERROR(IF([1]Checklist!$C$10='GenInfo (2)'!E29,'GenInfo (2)'!MI29," ")," ")</f>
        <v>22</v>
      </c>
      <c r="MK29" s="104" t="str">
        <f>IFERROR(SMALL($MJ$8:$MJ$94,ROWS($IL$8:IL29))," ")</f>
        <v xml:space="preserve"> </v>
      </c>
      <c r="ML29" s="102">
        <f>IFERROR(ROWS($IL$8:IL29)," ")</f>
        <v>22</v>
      </c>
      <c r="MM29" s="103" t="str">
        <f>IFERROR(IF([1]Checklist!$C$11='GenInfo (2)'!E29,'GenInfo (2)'!ML29," ")," ")</f>
        <v xml:space="preserve"> </v>
      </c>
      <c r="MN29" s="104" t="str">
        <f>IFERROR(SMALL($MM$8:$MM$94,ROWS($IL$8:IL29))," ")</f>
        <v xml:space="preserve"> </v>
      </c>
      <c r="MO29" s="102">
        <f>IFERROR(ROWS($IL$8:IL29)," ")</f>
        <v>22</v>
      </c>
      <c r="MP29" s="103" t="str">
        <f>IFERROR(IF([1]Checklist!$C$12='GenInfo (2)'!E29,'GenInfo (2)'!MO29," ")," ")</f>
        <v xml:space="preserve"> </v>
      </c>
      <c r="MQ29" s="104" t="str">
        <f>IFERROR(SMALL($MP$8:$MP$94,ROWS($IL$8:IL29))," ")</f>
        <v xml:space="preserve"> </v>
      </c>
      <c r="MR29" s="102">
        <f>IFERROR(ROWS($IL$8:IL29)," ")</f>
        <v>22</v>
      </c>
      <c r="MS29" s="103" t="str">
        <f>IFERROR(IF([1]Checklist!$C$13='GenInfo (2)'!E29,'GenInfo (2)'!MR29," ")," ")</f>
        <v xml:space="preserve"> </v>
      </c>
      <c r="MT29" s="104" t="str">
        <f>IFERROR(SMALL($MS$8:$MS$94,ROWS($IL$8:IL29))," ")</f>
        <v xml:space="preserve"> </v>
      </c>
      <c r="MU29" s="102">
        <f>IFERROR(ROWS($IL$8:IL29)," ")</f>
        <v>22</v>
      </c>
      <c r="MV29" s="103" t="str">
        <f>IFERROR(IF([1]Checklist!$C$14='GenInfo (2)'!E29,'GenInfo (2)'!MU29," ")," ")</f>
        <v xml:space="preserve"> </v>
      </c>
      <c r="MW29" s="104" t="str">
        <f>IFERROR(SMALL($MV$8:$MV$94,ROWS($IL$8:IL29))," ")</f>
        <v xml:space="preserve"> </v>
      </c>
      <c r="MX29" s="102">
        <f>IFERROR(ROWS($IL$8:IL29)," ")</f>
        <v>22</v>
      </c>
      <c r="MY29" s="103" t="str">
        <f>IFERROR(IF([1]Checklist!$C$15='GenInfo (2)'!E29,'GenInfo (2)'!MX29," ")," ")</f>
        <v xml:space="preserve"> </v>
      </c>
      <c r="MZ29" s="104" t="str">
        <f>IFERROR(SMALL($MY$8:$MY$94,ROWS($IL$8:IL29))," ")</f>
        <v xml:space="preserve"> </v>
      </c>
      <c r="NA29" s="102">
        <f>IFERROR(ROWS($IL$8:IL29)," ")</f>
        <v>22</v>
      </c>
      <c r="NB29" s="103" t="str">
        <f>IFERROR(IF([1]Checklist!$C$16='GenInfo (2)'!E29,'GenInfo (2)'!NA29," ")," ")</f>
        <v xml:space="preserve"> </v>
      </c>
      <c r="NC29" s="104" t="str">
        <f>IFERROR(SMALL($NB$8:$NB$94,ROWS($IL$8:IL29))," ")</f>
        <v xml:space="preserve"> </v>
      </c>
      <c r="ND29" s="102">
        <f>IFERROR(ROWS($IL$8:IL29)," ")</f>
        <v>22</v>
      </c>
      <c r="NE29" s="103" t="str">
        <f>IFERROR(IF([1]Checklist!$C$17='GenInfo (2)'!E29,'GenInfo (2)'!ND29," ")," ")</f>
        <v xml:space="preserve"> </v>
      </c>
      <c r="NF29" s="104" t="str">
        <f>IFERROR(SMALL($NE$8:$NE$94,ROWS($IL$8:IL29))," ")</f>
        <v xml:space="preserve"> </v>
      </c>
    </row>
    <row r="30" spans="1:370" ht="14.25" x14ac:dyDescent="0.45">
      <c r="A30" s="37" t="s">
        <v>213</v>
      </c>
      <c r="B30" s="37">
        <v>161</v>
      </c>
      <c r="C30" s="146" t="s">
        <v>460</v>
      </c>
      <c r="D30" t="s">
        <v>461</v>
      </c>
      <c r="E30" s="64" t="s">
        <v>462</v>
      </c>
      <c r="F30" s="63" t="s">
        <v>463</v>
      </c>
      <c r="G30" s="64" t="s">
        <v>218</v>
      </c>
      <c r="H30" s="63"/>
      <c r="I30" s="137" t="s">
        <v>464</v>
      </c>
      <c r="J30" s="63" t="s">
        <v>465</v>
      </c>
      <c r="K30" s="62"/>
      <c r="L30" s="67">
        <v>43980</v>
      </c>
      <c r="M30" s="67">
        <v>43983</v>
      </c>
      <c r="N30" s="67" t="s">
        <v>213</v>
      </c>
      <c r="O30" s="68" t="s">
        <v>466</v>
      </c>
      <c r="P30" s="67"/>
      <c r="Q30" s="67"/>
      <c r="R30" s="63" t="s">
        <v>297</v>
      </c>
      <c r="S30" s="67"/>
      <c r="T30" s="63"/>
      <c r="U30" s="62"/>
      <c r="V30" s="67">
        <v>43998</v>
      </c>
      <c r="W30" s="63"/>
      <c r="X30" s="69"/>
      <c r="Y30" s="63"/>
      <c r="Z30" s="69"/>
      <c r="AA30" s="62"/>
      <c r="AB30" s="63" t="s">
        <v>467</v>
      </c>
      <c r="AC30" s="63" t="s">
        <v>468</v>
      </c>
      <c r="AD30" s="66" t="s">
        <v>469</v>
      </c>
      <c r="AE30" s="63" t="s">
        <v>470</v>
      </c>
      <c r="AF30" s="63" t="s">
        <v>471</v>
      </c>
      <c r="AG30" s="63"/>
      <c r="AH30" s="63" t="s">
        <v>472</v>
      </c>
      <c r="AI30" s="63" t="s">
        <v>230</v>
      </c>
      <c r="AJ30" s="63">
        <v>60804</v>
      </c>
      <c r="AK30" s="62"/>
      <c r="AL30" s="71">
        <f t="shared" si="36"/>
        <v>19</v>
      </c>
      <c r="AM30" s="71">
        <f t="shared" ref="AM30" ca="1" si="89">IFERROR(DATEDIF($AN30,TODAY(),"y"),"")</f>
        <v>21</v>
      </c>
      <c r="AN30" s="67">
        <v>36800</v>
      </c>
      <c r="AO30" s="72" t="str">
        <f t="shared" ca="1" si="38"/>
        <v/>
      </c>
      <c r="AP30" s="63" t="s">
        <v>231</v>
      </c>
      <c r="AQ30" s="73" t="s">
        <v>473</v>
      </c>
      <c r="AR30" s="70" t="s">
        <v>426</v>
      </c>
      <c r="AS30" s="63"/>
      <c r="AT30" s="63">
        <v>30</v>
      </c>
      <c r="AU30" s="63">
        <v>12</v>
      </c>
      <c r="AV30" s="63"/>
      <c r="AW30" s="63">
        <v>180</v>
      </c>
      <c r="AX30" s="63" t="s">
        <v>253</v>
      </c>
      <c r="AY30" s="63" t="s">
        <v>235</v>
      </c>
      <c r="AZ30" s="63" t="s">
        <v>290</v>
      </c>
      <c r="BA30" s="63" t="s">
        <v>290</v>
      </c>
      <c r="BB30" s="63"/>
      <c r="BC30" s="63">
        <v>2</v>
      </c>
      <c r="BD30" s="62"/>
      <c r="BE30" s="71">
        <f t="shared" si="82"/>
        <v>0</v>
      </c>
      <c r="BF30" s="71">
        <f t="shared" si="82"/>
        <v>0</v>
      </c>
      <c r="BG30" s="71">
        <f t="shared" si="40"/>
        <v>0</v>
      </c>
      <c r="BH30" s="74" t="str">
        <f t="shared" si="41"/>
        <v xml:space="preserve"> </v>
      </c>
      <c r="BI30" s="75" t="str">
        <f t="shared" si="42"/>
        <v xml:space="preserve"> </v>
      </c>
      <c r="BJ30" s="71">
        <f t="shared" si="43"/>
        <v>0</v>
      </c>
      <c r="BK30" s="75" t="str">
        <f t="shared" si="44"/>
        <v xml:space="preserve"> </v>
      </c>
      <c r="BL30" s="76">
        <f t="shared" si="83"/>
        <v>0</v>
      </c>
      <c r="BM30" s="77">
        <f t="shared" si="83"/>
        <v>0</v>
      </c>
      <c r="BN30" s="78"/>
      <c r="BO30" s="67"/>
      <c r="BP30" s="67"/>
      <c r="BQ30" s="63"/>
      <c r="BR30" s="63"/>
      <c r="BS30" s="74" t="str">
        <f t="shared" si="49"/>
        <v xml:space="preserve"> </v>
      </c>
      <c r="BT30" s="79" t="s">
        <v>221</v>
      </c>
      <c r="BU30" s="79" t="s">
        <v>221</v>
      </c>
      <c r="BV30" s="80">
        <v>0</v>
      </c>
      <c r="BW30" s="81">
        <v>0</v>
      </c>
      <c r="BX30" s="82"/>
      <c r="BY30" s="83"/>
      <c r="BZ30" s="83"/>
      <c r="CA30" s="84"/>
      <c r="CB30" s="84"/>
      <c r="CC30" s="74" t="str">
        <f t="shared" si="50"/>
        <v xml:space="preserve"> </v>
      </c>
      <c r="CD30" s="79" t="s">
        <v>221</v>
      </c>
      <c r="CE30" s="81">
        <v>0</v>
      </c>
      <c r="CF30" s="85"/>
      <c r="CG30" s="85"/>
      <c r="CH30" s="85"/>
      <c r="CI30" s="78"/>
      <c r="CJ30" s="78"/>
      <c r="CK30" s="74" t="str">
        <f t="shared" si="51"/>
        <v xml:space="preserve"> </v>
      </c>
      <c r="CL30" s="79" t="s">
        <v>221</v>
      </c>
      <c r="CM30" s="79" t="s">
        <v>221</v>
      </c>
      <c r="CN30" s="86" t="s">
        <v>221</v>
      </c>
      <c r="CO30" s="81">
        <v>0</v>
      </c>
      <c r="CP30" s="87"/>
      <c r="CQ30" s="83"/>
      <c r="CR30" s="83"/>
      <c r="CS30" s="82"/>
      <c r="CT30" s="82"/>
      <c r="CU30" s="74" t="str">
        <f t="shared" si="52"/>
        <v xml:space="preserve"> </v>
      </c>
      <c r="CV30" s="79" t="s">
        <v>221</v>
      </c>
      <c r="CW30" s="79" t="s">
        <v>221</v>
      </c>
      <c r="CX30" s="88" t="s">
        <v>221</v>
      </c>
      <c r="CY30" s="81">
        <v>0</v>
      </c>
      <c r="CZ30" s="89"/>
      <c r="DA30" s="67"/>
      <c r="DB30" s="67"/>
      <c r="DC30" s="78"/>
      <c r="DD30" s="78"/>
      <c r="DE30" s="74" t="str">
        <f t="shared" si="53"/>
        <v xml:space="preserve"> </v>
      </c>
      <c r="DF30" s="79" t="s">
        <v>221</v>
      </c>
      <c r="DG30" s="79" t="s">
        <v>221</v>
      </c>
      <c r="DH30" s="79" t="s">
        <v>221</v>
      </c>
      <c r="DI30" s="81">
        <v>0</v>
      </c>
      <c r="DJ30" s="87"/>
      <c r="DK30" s="83"/>
      <c r="DL30" s="83"/>
      <c r="DM30" s="82"/>
      <c r="DN30" s="82"/>
      <c r="DO30" s="74" t="str">
        <f t="shared" si="54"/>
        <v xml:space="preserve"> </v>
      </c>
      <c r="DP30" s="79" t="s">
        <v>221</v>
      </c>
      <c r="DQ30" s="79" t="s">
        <v>221</v>
      </c>
      <c r="DR30" s="79" t="s">
        <v>221</v>
      </c>
      <c r="DS30" s="81">
        <v>0</v>
      </c>
      <c r="DT30" s="89"/>
      <c r="DU30" s="67"/>
      <c r="DV30" s="67"/>
      <c r="DW30" s="78"/>
      <c r="DX30" s="78"/>
      <c r="DY30" s="74" t="str">
        <f t="shared" si="55"/>
        <v xml:space="preserve"> </v>
      </c>
      <c r="DZ30" s="94"/>
      <c r="EA30" s="94"/>
      <c r="EB30" s="94"/>
      <c r="EC30" s="94"/>
      <c r="ED30" s="87"/>
      <c r="EE30" s="83"/>
      <c r="EF30" s="83"/>
      <c r="EG30" s="82"/>
      <c r="EH30" s="82"/>
      <c r="EI30" s="74" t="str">
        <f t="shared" si="46"/>
        <v xml:space="preserve"> </v>
      </c>
      <c r="EJ30" s="92"/>
      <c r="EK30" s="92"/>
      <c r="EL30" s="92"/>
      <c r="EM30" s="92"/>
      <c r="EN30" s="89"/>
      <c r="EO30" s="67"/>
      <c r="EP30" s="67"/>
      <c r="EQ30" s="78"/>
      <c r="ER30" s="78"/>
      <c r="ES30" s="74" t="str">
        <f t="shared" si="47"/>
        <v xml:space="preserve"> </v>
      </c>
      <c r="ET30" s="94"/>
      <c r="EU30" s="94"/>
      <c r="EV30" s="94">
        <v>0</v>
      </c>
      <c r="EW30" s="76">
        <v>0</v>
      </c>
      <c r="EX30" s="87"/>
      <c r="EY30" s="83"/>
      <c r="EZ30" s="83"/>
      <c r="FA30" s="82"/>
      <c r="FB30" s="82"/>
      <c r="FC30" s="74" t="str">
        <f t="shared" si="56"/>
        <v xml:space="preserve"> </v>
      </c>
      <c r="FD30" s="92"/>
      <c r="FE30" s="92"/>
      <c r="FF30" s="92"/>
      <c r="FG30" s="92"/>
      <c r="FH30" s="76">
        <f t="shared" si="57"/>
        <v>0</v>
      </c>
      <c r="FI30" s="89"/>
      <c r="FJ30" s="67"/>
      <c r="FK30" s="67"/>
      <c r="FL30" s="78"/>
      <c r="FM30" s="78"/>
      <c r="FN30" s="74" t="str">
        <f t="shared" si="58"/>
        <v xml:space="preserve"> </v>
      </c>
      <c r="FO30" s="94"/>
      <c r="FP30" s="94"/>
      <c r="FQ30" s="94"/>
      <c r="FR30" s="94"/>
      <c r="FS30" s="76">
        <f t="shared" si="59"/>
        <v>0</v>
      </c>
      <c r="FT30" s="87"/>
      <c r="FU30" s="83"/>
      <c r="FV30" s="83"/>
      <c r="FW30" s="82"/>
      <c r="FX30" s="82"/>
      <c r="FY30" s="74" t="str">
        <f t="shared" si="60"/>
        <v xml:space="preserve"> </v>
      </c>
      <c r="FZ30" s="92"/>
      <c r="GA30" s="92"/>
      <c r="GB30" s="92"/>
      <c r="GC30" s="92"/>
      <c r="GD30" s="76">
        <f t="shared" si="61"/>
        <v>0</v>
      </c>
      <c r="GE30" s="62"/>
      <c r="GF30" s="96" t="s">
        <v>221</v>
      </c>
      <c r="GG30" s="96" t="s">
        <v>221</v>
      </c>
      <c r="GH30" s="63"/>
      <c r="GI30" s="63"/>
      <c r="GJ30" s="63"/>
      <c r="GK30" s="97">
        <f t="shared" si="84"/>
        <v>0</v>
      </c>
      <c r="GL30" s="98"/>
      <c r="GM30" s="98"/>
      <c r="GN30" s="97">
        <f t="shared" si="79"/>
        <v>0</v>
      </c>
      <c r="GO30" s="97" t="str">
        <f t="shared" si="63"/>
        <v xml:space="preserve"> </v>
      </c>
      <c r="GP30" s="62"/>
      <c r="GQ30" s="63"/>
      <c r="GR30" s="63"/>
      <c r="GS30" s="63"/>
      <c r="GT30" s="63"/>
      <c r="GU30" s="63"/>
      <c r="GV30" s="63"/>
      <c r="GW30" s="63"/>
      <c r="GX30" s="63"/>
      <c r="GY30" s="65" t="str">
        <f t="shared" ref="GY30" si="90">IFERROR(IF(IN30&gt;0,"X",""),"")</f>
        <v/>
      </c>
      <c r="GZ30" s="65" t="str">
        <f t="shared" ref="GZ30" si="91">IFERROR(IF(JC30&gt;0,"X",""),"")</f>
        <v/>
      </c>
      <c r="HA30" s="63"/>
      <c r="HB30" s="63"/>
      <c r="HC30" s="63"/>
      <c r="HD30" s="63"/>
      <c r="HE30" s="63"/>
      <c r="HF30" s="63"/>
      <c r="HG30" s="63"/>
      <c r="HH30" s="63"/>
      <c r="HI30" s="63"/>
      <c r="HJ30" s="63"/>
      <c r="HK30" s="63"/>
      <c r="HL30" s="65" t="str">
        <f t="shared" si="86"/>
        <v/>
      </c>
      <c r="HM30" s="65" t="str">
        <f t="shared" si="66"/>
        <v/>
      </c>
      <c r="HN30" s="65" t="str">
        <f t="shared" si="85"/>
        <v/>
      </c>
      <c r="HO30" s="65" t="str">
        <f t="shared" si="87"/>
        <v/>
      </c>
      <c r="HP30" s="99" t="str">
        <f t="shared" si="88"/>
        <v/>
      </c>
      <c r="HQ30" s="99" t="str">
        <f>IFERROR(IF(OR(JL30&gt;0,JM30&gt;0,JN30&gt;0,JO30&gt;0),"x",""),"")</f>
        <v/>
      </c>
      <c r="HR30" s="63"/>
      <c r="HS30" s="63"/>
      <c r="HT30" s="63"/>
      <c r="HU30" s="63"/>
      <c r="HV30" s="63"/>
      <c r="HW30" s="63"/>
      <c r="HX30" s="63"/>
      <c r="HY30" s="63"/>
      <c r="HZ30" s="63"/>
      <c r="IA30" s="63"/>
      <c r="IB30" s="63"/>
      <c r="IC30" s="63"/>
      <c r="ID30" s="63"/>
      <c r="IE30" s="100"/>
      <c r="IF30" s="100"/>
      <c r="IG30" s="100"/>
      <c r="IH30" s="100"/>
      <c r="II30" s="100"/>
      <c r="IJ30" s="100"/>
      <c r="IK30" s="100"/>
      <c r="IL30" s="63" t="s">
        <v>213</v>
      </c>
      <c r="IM30" s="62"/>
      <c r="IN30" s="101"/>
      <c r="IO30" s="101"/>
      <c r="IP30" s="63"/>
      <c r="IQ30" s="63"/>
      <c r="IR30" s="63"/>
      <c r="IS30" s="63"/>
      <c r="IT30" s="63"/>
      <c r="IU30" s="63"/>
      <c r="IV30" s="63"/>
      <c r="IW30" s="63"/>
      <c r="IX30" s="63"/>
      <c r="IY30" s="63"/>
      <c r="IZ30" s="63"/>
      <c r="JA30" s="65">
        <f t="shared" si="48"/>
        <v>0</v>
      </c>
      <c r="JB30" s="63"/>
      <c r="JC30" s="101"/>
      <c r="JD30" s="101"/>
      <c r="JE30" s="63"/>
      <c r="JF30" s="63"/>
      <c r="JG30" s="63"/>
      <c r="JH30" s="63"/>
      <c r="JI30" s="63"/>
      <c r="JJ30" s="63"/>
      <c r="JK30" s="63"/>
      <c r="JL30" s="63"/>
      <c r="JM30" s="63"/>
      <c r="JN30" s="96"/>
      <c r="JO30" s="96"/>
      <c r="JP30" s="65">
        <f t="shared" si="29"/>
        <v>0</v>
      </c>
      <c r="JQ30" s="96"/>
      <c r="LM30" s="205"/>
      <c r="LN30" s="102">
        <f>IFERROR(ROWS($IL$8:IL30)," ")</f>
        <v>23</v>
      </c>
      <c r="LO30" s="103" t="str">
        <f>IFERROR(IF([1]Checklist!$C$3='GenInfo (2)'!E30,'GenInfo (2)'!LN30," ")," ")</f>
        <v xml:space="preserve"> </v>
      </c>
      <c r="LP30" s="104" t="str">
        <f>IFERROR(SMALL($LO$8:$LO$94,ROWS($IL$8:IL30))," ")</f>
        <v xml:space="preserve"> </v>
      </c>
      <c r="LQ30" s="102">
        <f>IFERROR(ROWS($IL$8:IL30)," ")</f>
        <v>23</v>
      </c>
      <c r="LR30" s="103" t="str">
        <f>IFERROR(IF([1]Checklist!$C$4='GenInfo (2)'!E30,'GenInfo (2)'!LQ30," ")," ")</f>
        <v xml:space="preserve"> </v>
      </c>
      <c r="LS30" s="104" t="str">
        <f>IFERROR(SMALL($LR$8:$LR$94,ROWS($IL$8:IL30))," ")</f>
        <v xml:space="preserve"> </v>
      </c>
      <c r="LT30" s="102">
        <f>IFERROR(ROWS($IL$8:IL30)," ")</f>
        <v>23</v>
      </c>
      <c r="LU30" s="103" t="str">
        <f>IFERROR(IF([1]Checklist!$C$5='GenInfo (2)'!E30,'GenInfo (2)'!LT30," ")," ")</f>
        <v xml:space="preserve"> </v>
      </c>
      <c r="LV30" s="104" t="str">
        <f>IFERROR(SMALL($LU$8:$LU$94,ROWS($IL$8:IL30))," ")</f>
        <v xml:space="preserve"> </v>
      </c>
      <c r="LW30" s="102">
        <f>IFERROR(ROWS($IL$8:IL30)," ")</f>
        <v>23</v>
      </c>
      <c r="LX30" s="103" t="str">
        <f>IFERROR(IF([1]Checklist!$C$6='GenInfo (2)'!E30,'GenInfo (2)'!LW30," ")," ")</f>
        <v xml:space="preserve"> </v>
      </c>
      <c r="LY30" s="104" t="str">
        <f>IFERROR(SMALL($LX$8:$LX$94,ROWS($IL$8:IL30))," ")</f>
        <v xml:space="preserve"> </v>
      </c>
      <c r="LZ30" s="102">
        <f>IFERROR(ROWS($IL$8:IL30)," ")</f>
        <v>23</v>
      </c>
      <c r="MA30" s="103" t="str">
        <f>IFERROR(IF([1]Checklist!$C$7='GenInfo (2)'!E30,'GenInfo (2)'!LZ30," ")," ")</f>
        <v xml:space="preserve"> </v>
      </c>
      <c r="MB30" s="104" t="str">
        <f>IFERROR(SMALL($MA$8:$MA$94,ROWS($IL$8:IL30))," ")</f>
        <v xml:space="preserve"> </v>
      </c>
      <c r="MC30" s="102">
        <f>IFERROR(ROWS($IL$8:IL30)," ")</f>
        <v>23</v>
      </c>
      <c r="MD30" s="103" t="str">
        <f>IFERROR(IF([1]Checklist!$C$8='GenInfo (2)'!E30,'GenInfo (2)'!MC30," ")," ")</f>
        <v xml:space="preserve"> </v>
      </c>
      <c r="ME30" s="104" t="str">
        <f>IFERROR(SMALL($MD$8:$MD$94,ROWS($IL$8:IL30))," ")</f>
        <v xml:space="preserve"> </v>
      </c>
      <c r="MF30" s="102">
        <f>IFERROR(ROWS($IL$8:IL30)," ")</f>
        <v>23</v>
      </c>
      <c r="MG30" s="103" t="str">
        <f>IFERROR(IF([1]Checklist!$C$9='GenInfo (2)'!E30,'GenInfo (2)'!MF30," ")," ")</f>
        <v xml:space="preserve"> </v>
      </c>
      <c r="MH30" s="104" t="str">
        <f>IFERROR(SMALL($MG$8:$MG$94,ROWS($IL$8:IL30))," ")</f>
        <v xml:space="preserve"> </v>
      </c>
      <c r="MI30" s="102">
        <f>IFERROR(ROWS($IL$8:$IL30)," ")</f>
        <v>23</v>
      </c>
      <c r="MJ30" s="103" t="str">
        <f>IFERROR(IF([1]Checklist!$C$10='GenInfo (2)'!E30,'GenInfo (2)'!MI30," ")," ")</f>
        <v xml:space="preserve"> </v>
      </c>
      <c r="MK30" s="104" t="str">
        <f>IFERROR(SMALL($MJ$8:$MJ$94,ROWS($IL$8:IL30))," ")</f>
        <v xml:space="preserve"> </v>
      </c>
      <c r="ML30" s="102">
        <f>IFERROR(ROWS($IL$8:IL30)," ")</f>
        <v>23</v>
      </c>
      <c r="MM30" s="103">
        <f>IFERROR(IF([1]Checklist!$C$11='GenInfo (2)'!E30,'GenInfo (2)'!ML30," ")," ")</f>
        <v>23</v>
      </c>
      <c r="MN30" s="104" t="str">
        <f>IFERROR(SMALL($MM$8:$MM$94,ROWS($IL$8:IL30))," ")</f>
        <v xml:space="preserve"> </v>
      </c>
      <c r="MO30" s="102">
        <f>IFERROR(ROWS($IL$8:IL30)," ")</f>
        <v>23</v>
      </c>
      <c r="MP30" s="103" t="str">
        <f>IFERROR(IF([1]Checklist!$C$12='GenInfo (2)'!E30,'GenInfo (2)'!MO30," ")," ")</f>
        <v xml:space="preserve"> </v>
      </c>
      <c r="MQ30" s="104" t="str">
        <f>IFERROR(SMALL($MP$8:$MP$94,ROWS($IL$8:IL30))," ")</f>
        <v xml:space="preserve"> </v>
      </c>
      <c r="MR30" s="102">
        <f>IFERROR(ROWS($IL$8:IL30)," ")</f>
        <v>23</v>
      </c>
      <c r="MS30" s="103" t="str">
        <f>IFERROR(IF([1]Checklist!$C$13='GenInfo (2)'!E30,'GenInfo (2)'!MR30," ")," ")</f>
        <v xml:space="preserve"> </v>
      </c>
      <c r="MT30" s="104" t="str">
        <f>IFERROR(SMALL($MS$8:$MS$94,ROWS($IL$8:IL30))," ")</f>
        <v xml:space="preserve"> </v>
      </c>
      <c r="MU30" s="102">
        <f>IFERROR(ROWS($IL$8:IL30)," ")</f>
        <v>23</v>
      </c>
      <c r="MV30" s="103" t="str">
        <f>IFERROR(IF([1]Checklist!$C$14='GenInfo (2)'!E30,'GenInfo (2)'!MU30," ")," ")</f>
        <v xml:space="preserve"> </v>
      </c>
      <c r="MW30" s="104" t="str">
        <f>IFERROR(SMALL($MV$8:$MV$94,ROWS($IL$8:IL30))," ")</f>
        <v xml:space="preserve"> </v>
      </c>
      <c r="MX30" s="102">
        <f>IFERROR(ROWS($IL$8:IL30)," ")</f>
        <v>23</v>
      </c>
      <c r="MY30" s="103" t="str">
        <f>IFERROR(IF([1]Checklist!$C$15='GenInfo (2)'!E30,'GenInfo (2)'!MX30," ")," ")</f>
        <v xml:space="preserve"> </v>
      </c>
      <c r="MZ30" s="104" t="str">
        <f>IFERROR(SMALL($MY$8:$MY$94,ROWS($IL$8:IL30))," ")</f>
        <v xml:space="preserve"> </v>
      </c>
      <c r="NA30" s="102">
        <f>IFERROR(ROWS($IL$8:IL30)," ")</f>
        <v>23</v>
      </c>
      <c r="NB30" s="103" t="str">
        <f>IFERROR(IF([1]Checklist!$C$16='GenInfo (2)'!E30,'GenInfo (2)'!NA30," ")," ")</f>
        <v xml:space="preserve"> </v>
      </c>
      <c r="NC30" s="104" t="str">
        <f>IFERROR(SMALL($NB$8:$NB$94,ROWS($IL$8:IL30))," ")</f>
        <v xml:space="preserve"> </v>
      </c>
      <c r="ND30" s="102">
        <f>IFERROR(ROWS($IL$8:IL30)," ")</f>
        <v>23</v>
      </c>
      <c r="NE30" s="103" t="str">
        <f>IFERROR(IF([1]Checklist!$C$17='GenInfo (2)'!E30,'GenInfo (2)'!ND30," ")," ")</f>
        <v xml:space="preserve"> </v>
      </c>
      <c r="NF30" s="104" t="str">
        <f>IFERROR(SMALL($NE$8:$NE$94,ROWS($IL$8:IL30))," ")</f>
        <v xml:space="preserve"> </v>
      </c>
    </row>
    <row r="31" spans="1:370" ht="14.25" x14ac:dyDescent="0.45">
      <c r="A31" s="37" t="s">
        <v>213</v>
      </c>
      <c r="B31" s="37">
        <v>167</v>
      </c>
      <c r="C31" s="146" t="s">
        <v>474</v>
      </c>
      <c r="D31" t="s">
        <v>475</v>
      </c>
      <c r="E31" s="64" t="s">
        <v>462</v>
      </c>
      <c r="F31" s="63" t="s">
        <v>476</v>
      </c>
      <c r="G31" s="64" t="s">
        <v>267</v>
      </c>
      <c r="H31" s="63" t="s">
        <v>267</v>
      </c>
      <c r="I31" s="137" t="s">
        <v>477</v>
      </c>
      <c r="J31" s="63" t="s">
        <v>478</v>
      </c>
      <c r="K31" s="62"/>
      <c r="L31" s="67"/>
      <c r="M31" s="67">
        <v>43913</v>
      </c>
      <c r="N31" s="67" t="s">
        <v>213</v>
      </c>
      <c r="O31" s="68">
        <v>43891</v>
      </c>
      <c r="P31" s="67"/>
      <c r="Q31" s="67"/>
      <c r="R31" s="63"/>
      <c r="S31" s="67"/>
      <c r="T31" s="63"/>
      <c r="U31" s="62"/>
      <c r="V31" s="63"/>
      <c r="W31" s="63"/>
      <c r="X31" s="69"/>
      <c r="Y31" s="63"/>
      <c r="Z31" s="69"/>
      <c r="AA31" s="62"/>
      <c r="AB31" s="63" t="s">
        <v>479</v>
      </c>
      <c r="AC31" s="63" t="s">
        <v>480</v>
      </c>
      <c r="AD31" s="66" t="s">
        <v>481</v>
      </c>
      <c r="AE31" s="63" t="s">
        <v>482</v>
      </c>
      <c r="AF31" s="63" t="s">
        <v>483</v>
      </c>
      <c r="AG31" s="63"/>
      <c r="AH31" s="63" t="s">
        <v>251</v>
      </c>
      <c r="AI31" s="63" t="s">
        <v>230</v>
      </c>
      <c r="AJ31" s="63"/>
      <c r="AK31" s="62"/>
      <c r="AL31" s="71" t="str">
        <f t="shared" si="36"/>
        <v/>
      </c>
      <c r="AM31" s="71">
        <v>15</v>
      </c>
      <c r="AN31" s="67">
        <v>38146</v>
      </c>
      <c r="AO31" s="72">
        <f t="shared" ca="1" si="38"/>
        <v>40</v>
      </c>
      <c r="AP31" s="63" t="s">
        <v>231</v>
      </c>
      <c r="AQ31" s="73" t="s">
        <v>264</v>
      </c>
      <c r="AR31" s="70" t="s">
        <v>233</v>
      </c>
      <c r="AS31" s="63">
        <v>2</v>
      </c>
      <c r="AT31" s="63" t="s">
        <v>265</v>
      </c>
      <c r="AU31" s="63">
        <v>9</v>
      </c>
      <c r="AV31" s="63">
        <v>8</v>
      </c>
      <c r="AW31" s="63">
        <v>365</v>
      </c>
      <c r="AX31" s="63" t="s">
        <v>351</v>
      </c>
      <c r="AY31" s="63" t="s">
        <v>484</v>
      </c>
      <c r="AZ31" s="63" t="s">
        <v>238</v>
      </c>
      <c r="BA31" s="63" t="s">
        <v>238</v>
      </c>
      <c r="BB31" s="63"/>
      <c r="BC31" s="63"/>
      <c r="BD31" s="62"/>
      <c r="BE31" s="71">
        <f t="shared" si="82"/>
        <v>0</v>
      </c>
      <c r="BF31" s="71">
        <f t="shared" si="82"/>
        <v>0</v>
      </c>
      <c r="BG31" s="71">
        <f t="shared" si="40"/>
        <v>0</v>
      </c>
      <c r="BH31" s="74" t="str">
        <f t="shared" si="41"/>
        <v xml:space="preserve"> </v>
      </c>
      <c r="BI31" s="75" t="str">
        <f t="shared" si="42"/>
        <v xml:space="preserve"> </v>
      </c>
      <c r="BJ31" s="71">
        <f t="shared" si="43"/>
        <v>0</v>
      </c>
      <c r="BK31" s="75" t="str">
        <f t="shared" si="44"/>
        <v xml:space="preserve"> </v>
      </c>
      <c r="BL31" s="76">
        <f t="shared" si="83"/>
        <v>0</v>
      </c>
      <c r="BM31" s="77">
        <f t="shared" si="83"/>
        <v>0</v>
      </c>
      <c r="BN31" s="78"/>
      <c r="BO31" s="67"/>
      <c r="BP31" s="67"/>
      <c r="BQ31" s="63"/>
      <c r="BR31" s="63"/>
      <c r="BS31" s="74" t="str">
        <f t="shared" si="49"/>
        <v xml:space="preserve"> </v>
      </c>
      <c r="BT31" s="79" t="s">
        <v>221</v>
      </c>
      <c r="BU31" s="79" t="s">
        <v>221</v>
      </c>
      <c r="BV31" s="80">
        <v>0</v>
      </c>
      <c r="BW31" s="81">
        <v>0</v>
      </c>
      <c r="BX31" s="82"/>
      <c r="BY31" s="83"/>
      <c r="BZ31" s="83"/>
      <c r="CA31" s="84"/>
      <c r="CB31" s="84"/>
      <c r="CC31" s="74" t="str">
        <f t="shared" si="50"/>
        <v xml:space="preserve"> </v>
      </c>
      <c r="CD31" s="79" t="s">
        <v>221</v>
      </c>
      <c r="CE31" s="81">
        <v>0</v>
      </c>
      <c r="CF31" s="85"/>
      <c r="CG31" s="85"/>
      <c r="CH31" s="85"/>
      <c r="CI31" s="78"/>
      <c r="CJ31" s="78"/>
      <c r="CK31" s="74" t="str">
        <f t="shared" si="51"/>
        <v xml:space="preserve"> </v>
      </c>
      <c r="CL31" s="79" t="s">
        <v>221</v>
      </c>
      <c r="CM31" s="79" t="s">
        <v>221</v>
      </c>
      <c r="CN31" s="86" t="s">
        <v>221</v>
      </c>
      <c r="CO31" s="81">
        <v>0</v>
      </c>
      <c r="CP31" s="87"/>
      <c r="CQ31" s="83"/>
      <c r="CR31" s="83"/>
      <c r="CS31" s="82"/>
      <c r="CT31" s="82"/>
      <c r="CU31" s="74" t="str">
        <f t="shared" si="52"/>
        <v xml:space="preserve"> </v>
      </c>
      <c r="CV31" s="79" t="s">
        <v>221</v>
      </c>
      <c r="CW31" s="79" t="s">
        <v>221</v>
      </c>
      <c r="CX31" s="88" t="s">
        <v>221</v>
      </c>
      <c r="CY31" s="81">
        <v>0</v>
      </c>
      <c r="CZ31" s="89"/>
      <c r="DA31" s="67"/>
      <c r="DB31" s="67"/>
      <c r="DC31" s="78"/>
      <c r="DD31" s="78"/>
      <c r="DE31" s="74" t="str">
        <f t="shared" si="53"/>
        <v xml:space="preserve"> </v>
      </c>
      <c r="DF31" s="79" t="s">
        <v>221</v>
      </c>
      <c r="DG31" s="79" t="s">
        <v>221</v>
      </c>
      <c r="DH31" s="79" t="s">
        <v>221</v>
      </c>
      <c r="DI31" s="81">
        <v>0</v>
      </c>
      <c r="DJ31" s="87"/>
      <c r="DK31" s="83"/>
      <c r="DL31" s="83"/>
      <c r="DM31" s="82"/>
      <c r="DN31" s="82"/>
      <c r="DO31" s="74" t="str">
        <f t="shared" si="54"/>
        <v xml:space="preserve"> </v>
      </c>
      <c r="DP31" s="79" t="s">
        <v>221</v>
      </c>
      <c r="DQ31" s="79" t="s">
        <v>221</v>
      </c>
      <c r="DR31" s="79" t="s">
        <v>221</v>
      </c>
      <c r="DS31" s="81">
        <v>0</v>
      </c>
      <c r="DT31" s="89"/>
      <c r="DU31" s="67"/>
      <c r="DV31" s="67"/>
      <c r="DW31" s="78"/>
      <c r="DX31" s="78"/>
      <c r="DY31" s="74" t="str">
        <f t="shared" si="55"/>
        <v xml:space="preserve"> </v>
      </c>
      <c r="DZ31" s="90">
        <v>0</v>
      </c>
      <c r="EA31" s="90">
        <v>0</v>
      </c>
      <c r="EB31" s="90">
        <v>0</v>
      </c>
      <c r="EC31" s="91">
        <v>0</v>
      </c>
      <c r="ED31" s="87"/>
      <c r="EE31" s="83"/>
      <c r="EF31" s="83"/>
      <c r="EG31" s="82"/>
      <c r="EH31" s="82"/>
      <c r="EI31" s="74" t="str">
        <f t="shared" si="46"/>
        <v xml:space="preserve"> </v>
      </c>
      <c r="EJ31" s="92"/>
      <c r="EK31" s="92"/>
      <c r="EL31" s="92"/>
      <c r="EM31" s="92"/>
      <c r="EN31" s="89"/>
      <c r="EO31" s="67"/>
      <c r="EP31" s="67"/>
      <c r="EQ31" s="78"/>
      <c r="ER31" s="78"/>
      <c r="ES31" s="74" t="str">
        <f t="shared" si="47"/>
        <v xml:space="preserve"> </v>
      </c>
      <c r="ET31" s="94">
        <v>0</v>
      </c>
      <c r="EU31" s="94"/>
      <c r="EV31" s="94">
        <v>0</v>
      </c>
      <c r="EW31" s="95">
        <v>0</v>
      </c>
      <c r="EX31" s="87"/>
      <c r="EY31" s="83"/>
      <c r="EZ31" s="83"/>
      <c r="FA31" s="82"/>
      <c r="FB31" s="82"/>
      <c r="FC31" s="74" t="str">
        <f t="shared" si="56"/>
        <v xml:space="preserve"> </v>
      </c>
      <c r="FD31" s="92"/>
      <c r="FE31" s="92"/>
      <c r="FF31" s="92"/>
      <c r="FG31" s="92"/>
      <c r="FH31" s="76">
        <f t="shared" si="57"/>
        <v>0</v>
      </c>
      <c r="FI31" s="89"/>
      <c r="FJ31" s="67"/>
      <c r="FK31" s="67"/>
      <c r="FL31" s="78"/>
      <c r="FM31" s="78"/>
      <c r="FN31" s="74" t="str">
        <f t="shared" si="58"/>
        <v xml:space="preserve"> </v>
      </c>
      <c r="FO31" s="94"/>
      <c r="FP31" s="94"/>
      <c r="FQ31" s="94"/>
      <c r="FR31" s="94"/>
      <c r="FS31" s="76">
        <f t="shared" si="59"/>
        <v>0</v>
      </c>
      <c r="FT31" s="87"/>
      <c r="FU31" s="83"/>
      <c r="FV31" s="83"/>
      <c r="FW31" s="82"/>
      <c r="FX31" s="82"/>
      <c r="FY31" s="74" t="str">
        <f t="shared" si="60"/>
        <v xml:space="preserve"> </v>
      </c>
      <c r="FZ31" s="92"/>
      <c r="GA31" s="92"/>
      <c r="GB31" s="92"/>
      <c r="GC31" s="92"/>
      <c r="GD31" s="76">
        <f t="shared" si="61"/>
        <v>0</v>
      </c>
      <c r="GE31" s="62"/>
      <c r="GF31" s="96" t="s">
        <v>221</v>
      </c>
      <c r="GG31" s="96" t="s">
        <v>221</v>
      </c>
      <c r="GH31" s="63"/>
      <c r="GI31" s="63" t="s">
        <v>221</v>
      </c>
      <c r="GJ31" s="63" t="s">
        <v>221</v>
      </c>
      <c r="GK31" s="97">
        <f t="shared" si="84"/>
        <v>0</v>
      </c>
      <c r="GL31" s="63" t="s">
        <v>221</v>
      </c>
      <c r="GM31" s="98"/>
      <c r="GN31" s="97">
        <f t="shared" si="79"/>
        <v>0</v>
      </c>
      <c r="GO31" s="97" t="str">
        <f t="shared" si="63"/>
        <v xml:space="preserve"> </v>
      </c>
      <c r="GP31" s="62"/>
      <c r="GQ31" s="63"/>
      <c r="GR31" s="63"/>
      <c r="GS31" s="63"/>
      <c r="GT31" s="63"/>
      <c r="GU31" s="63"/>
      <c r="GV31" s="63"/>
      <c r="GW31" s="63"/>
      <c r="GX31" s="63"/>
      <c r="GY31" s="65" t="str">
        <f>IFERROR(IF(IN31&gt;0,"X",""),"")</f>
        <v/>
      </c>
      <c r="GZ31" s="65" t="str">
        <f>IFERROR(IF(JC31&gt;0,"X",""),"")</f>
        <v/>
      </c>
      <c r="HA31" s="63"/>
      <c r="HB31" s="63"/>
      <c r="HC31" s="63"/>
      <c r="HD31" s="63"/>
      <c r="HE31" s="63"/>
      <c r="HF31" s="63"/>
      <c r="HG31" s="63"/>
      <c r="HH31" s="63"/>
      <c r="HI31" s="63"/>
      <c r="HJ31" s="63"/>
      <c r="HK31" s="63"/>
      <c r="HL31" s="65" t="str">
        <f t="shared" si="86"/>
        <v/>
      </c>
      <c r="HM31" s="65" t="str">
        <f t="shared" si="66"/>
        <v/>
      </c>
      <c r="HN31" s="65" t="str">
        <f t="shared" si="85"/>
        <v/>
      </c>
      <c r="HO31" s="65" t="str">
        <f t="shared" si="87"/>
        <v/>
      </c>
      <c r="HP31" s="99" t="str">
        <f t="shared" si="88"/>
        <v/>
      </c>
      <c r="HQ31" s="99" t="str">
        <f>IFERROR(IF(OR(JL31&gt;0,JM31&gt;0,JN31&gt;0,JO31&gt;0),"x",""),"")</f>
        <v/>
      </c>
      <c r="HR31" s="63"/>
      <c r="HS31" s="63"/>
      <c r="HT31" s="63"/>
      <c r="HU31" s="63"/>
      <c r="HV31" s="63"/>
      <c r="HW31" s="63"/>
      <c r="HX31" s="63"/>
      <c r="HY31" s="63"/>
      <c r="HZ31" s="63"/>
      <c r="IA31" s="63"/>
      <c r="IB31" s="63"/>
      <c r="IC31" s="63"/>
      <c r="ID31" s="63"/>
      <c r="IE31" s="100"/>
      <c r="IF31" s="100"/>
      <c r="IG31" s="100"/>
      <c r="IH31" s="100"/>
      <c r="II31" s="100"/>
      <c r="IJ31" s="100"/>
      <c r="IK31" s="100"/>
      <c r="IL31" s="63"/>
      <c r="IM31" s="62"/>
      <c r="IN31" s="101"/>
      <c r="IO31" s="101"/>
      <c r="IP31" s="63"/>
      <c r="IQ31" s="63"/>
      <c r="IR31" s="63"/>
      <c r="IS31" s="63"/>
      <c r="IT31" s="63"/>
      <c r="IU31" s="63"/>
      <c r="IV31" s="63"/>
      <c r="IW31" s="63"/>
      <c r="IX31" s="63"/>
      <c r="IY31" s="63"/>
      <c r="IZ31" s="63"/>
      <c r="JA31" s="65">
        <f t="shared" si="48"/>
        <v>0</v>
      </c>
      <c r="JB31" s="63"/>
      <c r="JC31" s="101"/>
      <c r="JD31" s="101"/>
      <c r="JE31" s="63"/>
      <c r="JF31" s="63"/>
      <c r="JG31" s="63"/>
      <c r="JH31" s="63"/>
      <c r="JI31" s="63"/>
      <c r="JJ31" s="63"/>
      <c r="JK31" s="63"/>
      <c r="JL31" s="63"/>
      <c r="JM31" s="63"/>
      <c r="JN31" s="63"/>
      <c r="JO31" s="63"/>
      <c r="JP31" s="65">
        <f t="shared" si="29"/>
        <v>0</v>
      </c>
      <c r="JQ31" s="96"/>
      <c r="LM31" s="205"/>
      <c r="LN31" s="102">
        <f>IFERROR(ROWS($IL$8:IL31)," ")</f>
        <v>24</v>
      </c>
      <c r="LO31" s="103" t="str">
        <f>IFERROR(IF([1]Checklist!$C$3='GenInfo (2)'!E31,'GenInfo (2)'!LN31," ")," ")</f>
        <v xml:space="preserve"> </v>
      </c>
      <c r="LP31" s="104" t="str">
        <f>IFERROR(SMALL($LO$8:$LO$94,ROWS($IL$8:IL31))," ")</f>
        <v xml:space="preserve"> </v>
      </c>
      <c r="LQ31" s="102">
        <f>IFERROR(ROWS($IL$8:IL31)," ")</f>
        <v>24</v>
      </c>
      <c r="LR31" s="103" t="str">
        <f>IFERROR(IF([1]Checklist!$C$4='GenInfo (2)'!E31,'GenInfo (2)'!LQ31," ")," ")</f>
        <v xml:space="preserve"> </v>
      </c>
      <c r="LS31" s="104" t="str">
        <f>IFERROR(SMALL($LR$8:$LR$94,ROWS($IL$8:IL31))," ")</f>
        <v xml:space="preserve"> </v>
      </c>
      <c r="LT31" s="102">
        <f>IFERROR(ROWS($IL$8:IL31)," ")</f>
        <v>24</v>
      </c>
      <c r="LU31" s="103" t="str">
        <f>IFERROR(IF([1]Checklist!$C$5='GenInfo (2)'!E31,'GenInfo (2)'!LT31," ")," ")</f>
        <v xml:space="preserve"> </v>
      </c>
      <c r="LV31" s="104" t="str">
        <f>IFERROR(SMALL($LU$8:$LU$94,ROWS($IL$8:IL31))," ")</f>
        <v xml:space="preserve"> </v>
      </c>
      <c r="LW31" s="102">
        <f>IFERROR(ROWS($IL$8:IL31)," ")</f>
        <v>24</v>
      </c>
      <c r="LX31" s="103" t="str">
        <f>IFERROR(IF([1]Checklist!$C$6='GenInfo (2)'!E31,'GenInfo (2)'!LW31," ")," ")</f>
        <v xml:space="preserve"> </v>
      </c>
      <c r="LY31" s="104" t="str">
        <f>IFERROR(SMALL($LX$8:$LX$94,ROWS($IL$8:IL31))," ")</f>
        <v xml:space="preserve"> </v>
      </c>
      <c r="LZ31" s="102">
        <f>IFERROR(ROWS($IL$8:IL31)," ")</f>
        <v>24</v>
      </c>
      <c r="MA31" s="103" t="str">
        <f>IFERROR(IF([1]Checklist!$C$7='GenInfo (2)'!E31,'GenInfo (2)'!LZ31," ")," ")</f>
        <v xml:space="preserve"> </v>
      </c>
      <c r="MB31" s="104" t="str">
        <f>IFERROR(SMALL($MA$8:$MA$94,ROWS($IL$8:IL31))," ")</f>
        <v xml:space="preserve"> </v>
      </c>
      <c r="MC31" s="102">
        <f>IFERROR(ROWS($IL$8:IL31)," ")</f>
        <v>24</v>
      </c>
      <c r="MD31" s="103" t="str">
        <f>IFERROR(IF([1]Checklist!$C$8='GenInfo (2)'!E31,'GenInfo (2)'!MC31," ")," ")</f>
        <v xml:space="preserve"> </v>
      </c>
      <c r="ME31" s="104" t="str">
        <f>IFERROR(SMALL($MD$8:$MD$94,ROWS($IL$8:IL31))," ")</f>
        <v xml:space="preserve"> </v>
      </c>
      <c r="MF31" s="102">
        <f>IFERROR(ROWS($IL$8:IL31)," ")</f>
        <v>24</v>
      </c>
      <c r="MG31" s="103" t="str">
        <f>IFERROR(IF([1]Checklist!$C$9='GenInfo (2)'!E31,'GenInfo (2)'!MF31," ")," ")</f>
        <v xml:space="preserve"> </v>
      </c>
      <c r="MH31" s="104" t="str">
        <f>IFERROR(SMALL($MG$8:$MG$94,ROWS($IL$8:IL31))," ")</f>
        <v xml:space="preserve"> </v>
      </c>
      <c r="MI31" s="102">
        <f>IFERROR(ROWS($IL$8:$IL31)," ")</f>
        <v>24</v>
      </c>
      <c r="MJ31" s="103" t="str">
        <f>IFERROR(IF([1]Checklist!$C$10='GenInfo (2)'!E31,'GenInfo (2)'!MI31," ")," ")</f>
        <v xml:space="preserve"> </v>
      </c>
      <c r="MK31" s="104" t="str">
        <f>IFERROR(SMALL($MJ$8:$MJ$94,ROWS($IL$8:IL31))," ")</f>
        <v xml:space="preserve"> </v>
      </c>
      <c r="ML31" s="102">
        <f>IFERROR(ROWS($IL$8:IL31)," ")</f>
        <v>24</v>
      </c>
      <c r="MM31" s="103">
        <f>IFERROR(IF([1]Checklist!$C$11='GenInfo (2)'!E31,'GenInfo (2)'!ML31," ")," ")</f>
        <v>24</v>
      </c>
      <c r="MN31" s="104" t="str">
        <f>IFERROR(SMALL($MM$8:$MM$94,ROWS($IL$8:IL31))," ")</f>
        <v xml:space="preserve"> </v>
      </c>
      <c r="MO31" s="102">
        <f>IFERROR(ROWS($IL$8:IL31)," ")</f>
        <v>24</v>
      </c>
      <c r="MP31" s="103" t="str">
        <f>IFERROR(IF([1]Checklist!$C$12='GenInfo (2)'!E31,'GenInfo (2)'!MO31," ")," ")</f>
        <v xml:space="preserve"> </v>
      </c>
      <c r="MQ31" s="104" t="str">
        <f>IFERROR(SMALL($MP$8:$MP$94,ROWS($IL$8:IL31))," ")</f>
        <v xml:space="preserve"> </v>
      </c>
      <c r="MR31" s="102">
        <f>IFERROR(ROWS($IL$8:IL31)," ")</f>
        <v>24</v>
      </c>
      <c r="MS31" s="103" t="str">
        <f>IFERROR(IF([1]Checklist!$C$13='GenInfo (2)'!E31,'GenInfo (2)'!MR31," ")," ")</f>
        <v xml:space="preserve"> </v>
      </c>
      <c r="MT31" s="104" t="str">
        <f>IFERROR(SMALL($MS$8:$MS$94,ROWS($IL$8:IL31))," ")</f>
        <v xml:space="preserve"> </v>
      </c>
      <c r="MU31" s="102">
        <f>IFERROR(ROWS($IL$8:IL31)," ")</f>
        <v>24</v>
      </c>
      <c r="MV31" s="103" t="str">
        <f>IFERROR(IF([1]Checklist!$C$14='GenInfo (2)'!E31,'GenInfo (2)'!MU31," ")," ")</f>
        <v xml:space="preserve"> </v>
      </c>
      <c r="MW31" s="104" t="str">
        <f>IFERROR(SMALL($MV$8:$MV$94,ROWS($IL$8:IL31))," ")</f>
        <v xml:space="preserve"> </v>
      </c>
      <c r="MX31" s="102">
        <f>IFERROR(ROWS($IL$8:IL31)," ")</f>
        <v>24</v>
      </c>
      <c r="MY31" s="103" t="str">
        <f>IFERROR(IF([1]Checklist!$C$15='GenInfo (2)'!E31,'GenInfo (2)'!MX31," ")," ")</f>
        <v xml:space="preserve"> </v>
      </c>
      <c r="MZ31" s="104" t="str">
        <f>IFERROR(SMALL($MY$8:$MY$94,ROWS($IL$8:IL31))," ")</f>
        <v xml:space="preserve"> </v>
      </c>
      <c r="NA31" s="102">
        <f>IFERROR(ROWS($IL$8:IL31)," ")</f>
        <v>24</v>
      </c>
      <c r="NB31" s="103" t="str">
        <f>IFERROR(IF([1]Checklist!$C$16='GenInfo (2)'!E31,'GenInfo (2)'!NA31," ")," ")</f>
        <v xml:space="preserve"> </v>
      </c>
      <c r="NC31" s="104" t="str">
        <f>IFERROR(SMALL($NB$8:$NB$94,ROWS($IL$8:IL31))," ")</f>
        <v xml:space="preserve"> </v>
      </c>
      <c r="ND31" s="102">
        <f>IFERROR(ROWS($IL$8:IL31)," ")</f>
        <v>24</v>
      </c>
      <c r="NE31" s="103" t="str">
        <f>IFERROR(IF([1]Checklist!$C$17='GenInfo (2)'!E31,'GenInfo (2)'!ND31," ")," ")</f>
        <v xml:space="preserve"> </v>
      </c>
      <c r="NF31" s="104" t="str">
        <f>IFERROR(SMALL($NE$8:$NE$94,ROWS($IL$8:IL31))," ")</f>
        <v xml:space="preserve"> </v>
      </c>
    </row>
    <row r="32" spans="1:370" ht="14.25" x14ac:dyDescent="0.45">
      <c r="A32" s="37" t="s">
        <v>213</v>
      </c>
      <c r="B32" s="37">
        <v>168</v>
      </c>
      <c r="C32" s="146" t="s">
        <v>485</v>
      </c>
      <c r="D32" t="s">
        <v>486</v>
      </c>
      <c r="E32" s="64" t="s">
        <v>462</v>
      </c>
      <c r="F32" s="63">
        <v>56996789</v>
      </c>
      <c r="G32" s="64" t="s">
        <v>267</v>
      </c>
      <c r="H32" s="63"/>
      <c r="I32" s="137" t="s">
        <v>487</v>
      </c>
      <c r="J32" s="63" t="s">
        <v>488</v>
      </c>
      <c r="K32" s="62"/>
      <c r="L32" s="67">
        <v>43763</v>
      </c>
      <c r="M32" s="67">
        <v>43766</v>
      </c>
      <c r="N32" s="67"/>
      <c r="O32" s="68">
        <v>43800</v>
      </c>
      <c r="P32" s="67"/>
      <c r="Q32" s="67"/>
      <c r="R32" s="63" t="s">
        <v>269</v>
      </c>
      <c r="S32" s="67"/>
      <c r="T32" s="63"/>
      <c r="U32" s="62"/>
      <c r="V32" s="63"/>
      <c r="W32" s="63"/>
      <c r="X32" s="69"/>
      <c r="Y32" s="67"/>
      <c r="Z32" s="69"/>
      <c r="AA32" s="62"/>
      <c r="AB32" s="63" t="s">
        <v>489</v>
      </c>
      <c r="AC32" s="63" t="s">
        <v>490</v>
      </c>
      <c r="AD32" s="126" t="s">
        <v>491</v>
      </c>
      <c r="AE32" s="63" t="s">
        <v>492</v>
      </c>
      <c r="AF32" s="63" t="s">
        <v>493</v>
      </c>
      <c r="AG32" s="63"/>
      <c r="AH32" s="63" t="s">
        <v>494</v>
      </c>
      <c r="AI32" s="63" t="s">
        <v>230</v>
      </c>
      <c r="AJ32" s="63">
        <v>60104</v>
      </c>
      <c r="AK32" s="62"/>
      <c r="AL32" s="71" t="str">
        <f t="shared" si="36"/>
        <v/>
      </c>
      <c r="AM32" s="71">
        <f t="shared" ref="AM32:AM34" ca="1" si="92">IFERROR(DATEDIF($AN32,TODAY(),"y"),"")</f>
        <v>20</v>
      </c>
      <c r="AN32" s="67">
        <v>36990</v>
      </c>
      <c r="AO32" s="72">
        <f t="shared" ca="1" si="38"/>
        <v>2</v>
      </c>
      <c r="AP32" s="63" t="s">
        <v>313</v>
      </c>
      <c r="AQ32" s="73" t="s">
        <v>495</v>
      </c>
      <c r="AR32" s="70" t="s">
        <v>288</v>
      </c>
      <c r="AS32" s="63">
        <v>4</v>
      </c>
      <c r="AT32" s="63">
        <v>17</v>
      </c>
      <c r="AU32" s="63"/>
      <c r="AV32" s="63">
        <v>2</v>
      </c>
      <c r="AW32" s="63">
        <v>17</v>
      </c>
      <c r="AX32" s="63" t="s">
        <v>236</v>
      </c>
      <c r="AY32" s="63" t="s">
        <v>265</v>
      </c>
      <c r="AZ32" s="63" t="s">
        <v>235</v>
      </c>
      <c r="BA32" s="63" t="s">
        <v>235</v>
      </c>
      <c r="BB32" s="63"/>
      <c r="BC32" s="63"/>
      <c r="BD32" s="62"/>
      <c r="BE32" s="71">
        <f t="shared" si="82"/>
        <v>0</v>
      </c>
      <c r="BF32" s="71">
        <f t="shared" si="82"/>
        <v>0</v>
      </c>
      <c r="BG32" s="71">
        <f t="shared" si="40"/>
        <v>0</v>
      </c>
      <c r="BH32" s="74" t="str">
        <f t="shared" si="41"/>
        <v xml:space="preserve"> </v>
      </c>
      <c r="BI32" s="75" t="str">
        <f t="shared" si="42"/>
        <v xml:space="preserve"> </v>
      </c>
      <c r="BJ32" s="71">
        <f t="shared" si="43"/>
        <v>0</v>
      </c>
      <c r="BK32" s="75" t="str">
        <f t="shared" si="44"/>
        <v xml:space="preserve"> </v>
      </c>
      <c r="BL32" s="76">
        <f t="shared" si="83"/>
        <v>0</v>
      </c>
      <c r="BM32" s="77">
        <f t="shared" si="83"/>
        <v>0</v>
      </c>
      <c r="BN32" s="78"/>
      <c r="BO32" s="67"/>
      <c r="BP32" s="67"/>
      <c r="BQ32" s="63"/>
      <c r="BR32" s="63"/>
      <c r="BS32" s="74" t="str">
        <f t="shared" si="49"/>
        <v xml:space="preserve"> </v>
      </c>
      <c r="BT32" s="79">
        <v>0</v>
      </c>
      <c r="BU32" s="79">
        <v>0</v>
      </c>
      <c r="BV32" s="80">
        <v>0</v>
      </c>
      <c r="BW32" s="81">
        <v>0</v>
      </c>
      <c r="BX32" s="82"/>
      <c r="BY32" s="83"/>
      <c r="BZ32" s="83"/>
      <c r="CA32" s="84"/>
      <c r="CB32" s="84"/>
      <c r="CC32" s="74" t="str">
        <f t="shared" si="50"/>
        <v xml:space="preserve"> </v>
      </c>
      <c r="CD32" s="79">
        <v>0</v>
      </c>
      <c r="CE32" s="81">
        <v>0</v>
      </c>
      <c r="CF32" s="85"/>
      <c r="CG32" s="85"/>
      <c r="CH32" s="85"/>
      <c r="CI32" s="78"/>
      <c r="CJ32" s="78"/>
      <c r="CK32" s="74" t="str">
        <f t="shared" si="51"/>
        <v xml:space="preserve"> </v>
      </c>
      <c r="CL32" s="79">
        <v>0</v>
      </c>
      <c r="CM32" s="79">
        <v>0</v>
      </c>
      <c r="CN32" s="86">
        <v>0</v>
      </c>
      <c r="CO32" s="81">
        <v>0</v>
      </c>
      <c r="CP32" s="87"/>
      <c r="CQ32" s="83"/>
      <c r="CR32" s="83"/>
      <c r="CS32" s="82"/>
      <c r="CT32" s="82"/>
      <c r="CU32" s="74" t="str">
        <f t="shared" si="52"/>
        <v xml:space="preserve"> </v>
      </c>
      <c r="CV32" s="79">
        <v>0</v>
      </c>
      <c r="CW32" s="79">
        <v>0</v>
      </c>
      <c r="CX32" s="88">
        <v>0</v>
      </c>
      <c r="CY32" s="81">
        <v>0</v>
      </c>
      <c r="CZ32" s="89"/>
      <c r="DA32" s="67"/>
      <c r="DB32" s="67"/>
      <c r="DC32" s="78"/>
      <c r="DD32" s="78"/>
      <c r="DE32" s="74" t="str">
        <f t="shared" si="53"/>
        <v xml:space="preserve"> </v>
      </c>
      <c r="DF32" s="79">
        <v>0</v>
      </c>
      <c r="DG32" s="79">
        <v>0</v>
      </c>
      <c r="DH32" s="79">
        <v>0</v>
      </c>
      <c r="DI32" s="81">
        <v>0</v>
      </c>
      <c r="DJ32" s="87"/>
      <c r="DK32" s="83"/>
      <c r="DL32" s="83"/>
      <c r="DM32" s="82"/>
      <c r="DN32" s="82"/>
      <c r="DO32" s="74" t="str">
        <f t="shared" si="54"/>
        <v xml:space="preserve"> </v>
      </c>
      <c r="DP32" s="79">
        <v>0</v>
      </c>
      <c r="DQ32" s="79">
        <v>0</v>
      </c>
      <c r="DR32" s="79">
        <v>0</v>
      </c>
      <c r="DS32" s="81">
        <v>0</v>
      </c>
      <c r="DT32" s="89"/>
      <c r="DU32" s="67"/>
      <c r="DV32" s="67"/>
      <c r="DW32" s="78"/>
      <c r="DX32" s="78"/>
      <c r="DY32" s="74" t="str">
        <f t="shared" si="55"/>
        <v xml:space="preserve"> </v>
      </c>
      <c r="DZ32" s="90">
        <v>0</v>
      </c>
      <c r="EA32" s="90">
        <v>0</v>
      </c>
      <c r="EB32" s="90">
        <v>0</v>
      </c>
      <c r="EC32" s="91">
        <v>0</v>
      </c>
      <c r="ED32" s="87"/>
      <c r="EE32" s="83"/>
      <c r="EF32" s="83"/>
      <c r="EG32" s="82"/>
      <c r="EH32" s="82"/>
      <c r="EI32" s="74" t="str">
        <f t="shared" si="46"/>
        <v xml:space="preserve"> </v>
      </c>
      <c r="EJ32" s="92">
        <v>0</v>
      </c>
      <c r="EK32" s="92">
        <v>0</v>
      </c>
      <c r="EL32" s="92">
        <v>0</v>
      </c>
      <c r="EM32" s="93">
        <v>0</v>
      </c>
      <c r="EN32" s="89"/>
      <c r="EO32" s="67"/>
      <c r="EP32" s="67"/>
      <c r="EQ32" s="78"/>
      <c r="ER32" s="78"/>
      <c r="ES32" s="74" t="str">
        <f t="shared" si="47"/>
        <v xml:space="preserve"> </v>
      </c>
      <c r="ET32" s="94">
        <v>0</v>
      </c>
      <c r="EU32" s="94"/>
      <c r="EV32" s="94">
        <v>0</v>
      </c>
      <c r="EW32" s="95">
        <v>0</v>
      </c>
      <c r="EX32" s="87"/>
      <c r="EY32" s="83"/>
      <c r="EZ32" s="83"/>
      <c r="FA32" s="82"/>
      <c r="FB32" s="82"/>
      <c r="FC32" s="74" t="str">
        <f t="shared" si="56"/>
        <v xml:space="preserve"> </v>
      </c>
      <c r="FD32" s="92"/>
      <c r="FE32" s="92"/>
      <c r="FF32" s="92"/>
      <c r="FG32" s="92"/>
      <c r="FH32" s="76">
        <f t="shared" si="57"/>
        <v>0</v>
      </c>
      <c r="FI32" s="89"/>
      <c r="FJ32" s="67"/>
      <c r="FK32" s="67"/>
      <c r="FL32" s="78"/>
      <c r="FM32" s="78"/>
      <c r="FN32" s="74" t="str">
        <f t="shared" si="58"/>
        <v xml:space="preserve"> </v>
      </c>
      <c r="FO32" s="94"/>
      <c r="FP32" s="94"/>
      <c r="FQ32" s="94"/>
      <c r="FR32" s="94"/>
      <c r="FS32" s="76">
        <f t="shared" si="59"/>
        <v>0</v>
      </c>
      <c r="FT32" s="87"/>
      <c r="FU32" s="83"/>
      <c r="FV32" s="83"/>
      <c r="FW32" s="82"/>
      <c r="FX32" s="82"/>
      <c r="FY32" s="74" t="str">
        <f t="shared" si="60"/>
        <v xml:space="preserve"> </v>
      </c>
      <c r="FZ32" s="92"/>
      <c r="GA32" s="92"/>
      <c r="GB32" s="92"/>
      <c r="GC32" s="92"/>
      <c r="GD32" s="76">
        <f t="shared" si="61"/>
        <v>0</v>
      </c>
      <c r="GE32" s="62"/>
      <c r="GF32" s="96" t="s">
        <v>221</v>
      </c>
      <c r="GG32" s="96" t="s">
        <v>221</v>
      </c>
      <c r="GH32" s="63"/>
      <c r="GI32" s="63" t="s">
        <v>221</v>
      </c>
      <c r="GJ32" s="63" t="s">
        <v>221</v>
      </c>
      <c r="GK32" s="97">
        <f t="shared" si="84"/>
        <v>0</v>
      </c>
      <c r="GL32" s="63" t="s">
        <v>221</v>
      </c>
      <c r="GM32" s="98"/>
      <c r="GN32" s="97">
        <f t="shared" si="79"/>
        <v>0</v>
      </c>
      <c r="GO32" s="97" t="str">
        <f t="shared" si="63"/>
        <v xml:space="preserve"> </v>
      </c>
      <c r="GP32" s="62"/>
      <c r="GQ32" s="63"/>
      <c r="GR32" s="63"/>
      <c r="GS32" s="63"/>
      <c r="GT32" s="63"/>
      <c r="GU32" s="63"/>
      <c r="GV32" s="63"/>
      <c r="GW32" s="63"/>
      <c r="GX32" s="63"/>
      <c r="GY32" s="65" t="str">
        <f>IFERROR(IF(IN32&gt;0,"X",""),"")</f>
        <v/>
      </c>
      <c r="GZ32" s="65" t="str">
        <f>IFERROR(IF(JC32&gt;0,"X",""),"")</f>
        <v/>
      </c>
      <c r="HA32" s="63"/>
      <c r="HB32" s="63"/>
      <c r="HC32" s="63"/>
      <c r="HD32" s="63"/>
      <c r="HE32" s="63"/>
      <c r="HF32" s="63"/>
      <c r="HG32" s="63"/>
      <c r="HH32" s="63"/>
      <c r="HI32" s="63"/>
      <c r="HJ32" s="63"/>
      <c r="HK32" s="63"/>
      <c r="HL32" s="65" t="str">
        <f t="shared" si="86"/>
        <v/>
      </c>
      <c r="HM32" s="65" t="str">
        <f t="shared" si="66"/>
        <v/>
      </c>
      <c r="HN32" s="65" t="str">
        <f t="shared" si="85"/>
        <v/>
      </c>
      <c r="HO32" s="65" t="str">
        <f t="shared" si="87"/>
        <v/>
      </c>
      <c r="HP32" s="99" t="str">
        <f t="shared" si="88"/>
        <v/>
      </c>
      <c r="HQ32" s="99" t="str">
        <f>IFERROR(IF(OR(JL32&gt;0,JM32&gt;0,JN32&gt;0,JO32&gt;0),"x",""),"")</f>
        <v/>
      </c>
      <c r="HR32" s="63"/>
      <c r="HS32" s="63"/>
      <c r="HT32" s="63"/>
      <c r="HU32" s="63"/>
      <c r="HV32" s="63"/>
      <c r="HW32" s="63"/>
      <c r="HX32" s="63"/>
      <c r="HY32" s="63"/>
      <c r="HZ32" s="63"/>
      <c r="IA32" s="63"/>
      <c r="IB32" s="63"/>
      <c r="IC32" s="63"/>
      <c r="ID32" s="63"/>
      <c r="IE32" s="63"/>
      <c r="IF32" s="63"/>
      <c r="IG32" s="63"/>
      <c r="IH32" s="63"/>
      <c r="II32" s="63"/>
      <c r="IJ32" s="63"/>
      <c r="IK32" s="63"/>
      <c r="IL32" s="63"/>
      <c r="IM32" s="62"/>
      <c r="IN32" s="101"/>
      <c r="IO32" s="101"/>
      <c r="IP32" s="63"/>
      <c r="IQ32" s="63"/>
      <c r="IR32" s="63"/>
      <c r="IS32" s="63"/>
      <c r="IT32" s="63"/>
      <c r="IU32" s="63"/>
      <c r="IV32" s="63"/>
      <c r="IW32" s="63"/>
      <c r="IX32" s="63"/>
      <c r="IY32" s="63"/>
      <c r="IZ32" s="63"/>
      <c r="JA32" s="65">
        <f t="shared" si="48"/>
        <v>0</v>
      </c>
      <c r="JB32" s="63"/>
      <c r="JC32" s="101"/>
      <c r="JD32" s="101"/>
      <c r="JE32" s="63"/>
      <c r="JF32" s="63"/>
      <c r="JG32" s="63"/>
      <c r="JH32" s="63"/>
      <c r="JI32" s="63"/>
      <c r="JJ32" s="63"/>
      <c r="JK32" s="63"/>
      <c r="JL32" s="63"/>
      <c r="JM32" s="96"/>
      <c r="JN32" s="96"/>
      <c r="JO32" s="96"/>
      <c r="JP32" s="65">
        <f t="shared" si="29"/>
        <v>0</v>
      </c>
      <c r="JQ32" s="96">
        <f>JJ32-JF32</f>
        <v>0</v>
      </c>
      <c r="LM32" s="205"/>
      <c r="LN32" s="102">
        <f>IFERROR(ROWS($IL$8:IL32)," ")</f>
        <v>25</v>
      </c>
      <c r="LO32" s="103" t="str">
        <f>IFERROR(IF([1]Checklist!$C$3='GenInfo (2)'!E32,'GenInfo (2)'!LN32," ")," ")</f>
        <v xml:space="preserve"> </v>
      </c>
      <c r="LP32" s="104" t="str">
        <f>IFERROR(SMALL($LO$8:$LO$94,ROWS($IL$8:IL32))," ")</f>
        <v xml:space="preserve"> </v>
      </c>
      <c r="LQ32" s="102">
        <f>IFERROR(ROWS($IL$8:IL32)," ")</f>
        <v>25</v>
      </c>
      <c r="LR32" s="103" t="str">
        <f>IFERROR(IF([1]Checklist!$C$4='GenInfo (2)'!E32,'GenInfo (2)'!LQ32," ")," ")</f>
        <v xml:space="preserve"> </v>
      </c>
      <c r="LS32" s="104" t="str">
        <f>IFERROR(SMALL($LR$8:$LR$94,ROWS($IL$8:IL32))," ")</f>
        <v xml:space="preserve"> </v>
      </c>
      <c r="LT32" s="102">
        <f>IFERROR(ROWS($IL$8:IL32)," ")</f>
        <v>25</v>
      </c>
      <c r="LU32" s="103" t="str">
        <f>IFERROR(IF([1]Checklist!$C$5='GenInfo (2)'!E32,'GenInfo (2)'!LT32," ")," ")</f>
        <v xml:space="preserve"> </v>
      </c>
      <c r="LV32" s="104" t="str">
        <f>IFERROR(SMALL($LU$8:$LU$94,ROWS($IL$8:IL32))," ")</f>
        <v xml:space="preserve"> </v>
      </c>
      <c r="LW32" s="102">
        <f>IFERROR(ROWS($IL$8:IL32)," ")</f>
        <v>25</v>
      </c>
      <c r="LX32" s="103" t="str">
        <f>IFERROR(IF([1]Checklist!$C$6='GenInfo (2)'!E32,'GenInfo (2)'!LW32," ")," ")</f>
        <v xml:space="preserve"> </v>
      </c>
      <c r="LY32" s="104" t="str">
        <f>IFERROR(SMALL($LX$8:$LX$94,ROWS($IL$8:IL32))," ")</f>
        <v xml:space="preserve"> </v>
      </c>
      <c r="LZ32" s="102">
        <f>IFERROR(ROWS($IL$8:IL32)," ")</f>
        <v>25</v>
      </c>
      <c r="MA32" s="103" t="str">
        <f>IFERROR(IF([1]Checklist!$C$7='GenInfo (2)'!E32,'GenInfo (2)'!LZ32," ")," ")</f>
        <v xml:space="preserve"> </v>
      </c>
      <c r="MB32" s="104" t="str">
        <f>IFERROR(SMALL($MA$8:$MA$94,ROWS($IL$8:IL32))," ")</f>
        <v xml:space="preserve"> </v>
      </c>
      <c r="MC32" s="102">
        <f>IFERROR(ROWS($IL$8:IL32)," ")</f>
        <v>25</v>
      </c>
      <c r="MD32" s="103" t="str">
        <f>IFERROR(IF([1]Checklist!$C$8='GenInfo (2)'!E32,'GenInfo (2)'!MC32," ")," ")</f>
        <v xml:space="preserve"> </v>
      </c>
      <c r="ME32" s="104" t="str">
        <f>IFERROR(SMALL($MD$8:$MD$94,ROWS($IL$8:IL32))," ")</f>
        <v xml:space="preserve"> </v>
      </c>
      <c r="MF32" s="102">
        <f>IFERROR(ROWS($IL$8:IL32)," ")</f>
        <v>25</v>
      </c>
      <c r="MG32" s="103" t="str">
        <f>IFERROR(IF([1]Checklist!$C$9='GenInfo (2)'!E32,'GenInfo (2)'!MF32," ")," ")</f>
        <v xml:space="preserve"> </v>
      </c>
      <c r="MH32" s="104" t="str">
        <f>IFERROR(SMALL($MG$8:$MG$94,ROWS($IL$8:IL32))," ")</f>
        <v xml:space="preserve"> </v>
      </c>
      <c r="MI32" s="102">
        <f>IFERROR(ROWS($IL$8:$IL32)," ")</f>
        <v>25</v>
      </c>
      <c r="MJ32" s="103" t="str">
        <f>IFERROR(IF([1]Checklist!$C$10='GenInfo (2)'!E32,'GenInfo (2)'!MI32," ")," ")</f>
        <v xml:space="preserve"> </v>
      </c>
      <c r="MK32" s="104" t="str">
        <f>IFERROR(SMALL($MJ$8:$MJ$94,ROWS($IL$8:IL32))," ")</f>
        <v xml:space="preserve"> </v>
      </c>
      <c r="ML32" s="102">
        <f>IFERROR(ROWS($IL$8:IL32)," ")</f>
        <v>25</v>
      </c>
      <c r="MM32" s="103">
        <f>IFERROR(IF([1]Checklist!$C$11='GenInfo (2)'!E32,'GenInfo (2)'!ML32," ")," ")</f>
        <v>25</v>
      </c>
      <c r="MN32" s="104" t="str">
        <f>IFERROR(SMALL($MM$8:$MM$94,ROWS($IL$8:IL32))," ")</f>
        <v xml:space="preserve"> </v>
      </c>
      <c r="MO32" s="102">
        <f>IFERROR(ROWS($IL$8:IL32)," ")</f>
        <v>25</v>
      </c>
      <c r="MP32" s="103" t="str">
        <f>IFERROR(IF([1]Checklist!$C$12='GenInfo (2)'!E32,'GenInfo (2)'!MO32," ")," ")</f>
        <v xml:space="preserve"> </v>
      </c>
      <c r="MQ32" s="104" t="str">
        <f>IFERROR(SMALL($MP$8:$MP$94,ROWS($IL$8:IL32))," ")</f>
        <v xml:space="preserve"> </v>
      </c>
      <c r="MR32" s="102">
        <f>IFERROR(ROWS($IL$8:IL32)," ")</f>
        <v>25</v>
      </c>
      <c r="MS32" s="103" t="str">
        <f>IFERROR(IF([1]Checklist!$C$13='GenInfo (2)'!E32,'GenInfo (2)'!MR32," ")," ")</f>
        <v xml:space="preserve"> </v>
      </c>
      <c r="MT32" s="104" t="str">
        <f>IFERROR(SMALL($MS$8:$MS$94,ROWS($IL$8:IL32))," ")</f>
        <v xml:space="preserve"> </v>
      </c>
      <c r="MU32" s="102">
        <f>IFERROR(ROWS($IL$8:IL32)," ")</f>
        <v>25</v>
      </c>
      <c r="MV32" s="103" t="str">
        <f>IFERROR(IF([1]Checklist!$C$14='GenInfo (2)'!E32,'GenInfo (2)'!MU32," ")," ")</f>
        <v xml:space="preserve"> </v>
      </c>
      <c r="MW32" s="104" t="str">
        <f>IFERROR(SMALL($MV$8:$MV$94,ROWS($IL$8:IL32))," ")</f>
        <v xml:space="preserve"> </v>
      </c>
      <c r="MX32" s="102">
        <f>IFERROR(ROWS($IL$8:IL32)," ")</f>
        <v>25</v>
      </c>
      <c r="MY32" s="103" t="str">
        <f>IFERROR(IF([1]Checklist!$C$15='GenInfo (2)'!E32,'GenInfo (2)'!MX32," ")," ")</f>
        <v xml:space="preserve"> </v>
      </c>
      <c r="MZ32" s="104" t="str">
        <f>IFERROR(SMALL($MY$8:$MY$94,ROWS($IL$8:IL32))," ")</f>
        <v xml:space="preserve"> </v>
      </c>
      <c r="NA32" s="102">
        <f>IFERROR(ROWS($IL$8:IL32)," ")</f>
        <v>25</v>
      </c>
      <c r="NB32" s="103" t="str">
        <f>IFERROR(IF([1]Checklist!$C$16='GenInfo (2)'!E32,'GenInfo (2)'!NA32," ")," ")</f>
        <v xml:space="preserve"> </v>
      </c>
      <c r="NC32" s="104" t="str">
        <f>IFERROR(SMALL($NB$8:$NB$94,ROWS($IL$8:IL32))," ")</f>
        <v xml:space="preserve"> </v>
      </c>
      <c r="ND32" s="102">
        <f>IFERROR(ROWS($IL$8:IL32)," ")</f>
        <v>25</v>
      </c>
      <c r="NE32" s="103" t="str">
        <f>IFERROR(IF([1]Checklist!$C$17='GenInfo (2)'!E32,'GenInfo (2)'!ND32," ")," ")</f>
        <v xml:space="preserve"> </v>
      </c>
      <c r="NF32" s="104" t="str">
        <f>IFERROR(SMALL($NE$8:$NE$94,ROWS($IL$8:IL32))," ")</f>
        <v xml:space="preserve"> </v>
      </c>
    </row>
    <row r="33" spans="1:370" ht="28.5" x14ac:dyDescent="0.45">
      <c r="A33" s="37" t="s">
        <v>213</v>
      </c>
      <c r="B33" s="37">
        <v>171</v>
      </c>
      <c r="C33" s="146" t="s">
        <v>496</v>
      </c>
      <c r="D33" t="s">
        <v>497</v>
      </c>
      <c r="E33" s="64" t="s">
        <v>498</v>
      </c>
      <c r="F33" s="63" t="s">
        <v>499</v>
      </c>
      <c r="G33" s="64" t="s">
        <v>267</v>
      </c>
      <c r="H33" s="63"/>
      <c r="I33" s="137" t="s">
        <v>500</v>
      </c>
      <c r="J33" s="63" t="s">
        <v>501</v>
      </c>
      <c r="K33" s="62"/>
      <c r="L33" s="67">
        <v>43768</v>
      </c>
      <c r="M33" s="67">
        <v>43768</v>
      </c>
      <c r="N33" s="67" t="s">
        <v>213</v>
      </c>
      <c r="O33" s="68">
        <v>43770</v>
      </c>
      <c r="P33" s="67"/>
      <c r="Q33" s="67"/>
      <c r="R33" s="63"/>
      <c r="S33" s="67"/>
      <c r="T33" s="63"/>
      <c r="U33" s="62"/>
      <c r="V33" s="63"/>
      <c r="W33" s="63"/>
      <c r="X33" s="69"/>
      <c r="Y33" s="63"/>
      <c r="Z33" s="69"/>
      <c r="AA33" s="62"/>
      <c r="AB33" s="63" t="s">
        <v>502</v>
      </c>
      <c r="AC33" s="63" t="s">
        <v>503</v>
      </c>
      <c r="AD33" s="66" t="s">
        <v>504</v>
      </c>
      <c r="AE33" s="63" t="s">
        <v>505</v>
      </c>
      <c r="AF33" s="63" t="s">
        <v>273</v>
      </c>
      <c r="AG33" s="63"/>
      <c r="AH33" s="63" t="s">
        <v>275</v>
      </c>
      <c r="AI33" s="63" t="s">
        <v>230</v>
      </c>
      <c r="AJ33" s="63">
        <v>60443</v>
      </c>
      <c r="AK33" s="62"/>
      <c r="AL33" s="71" t="str">
        <f t="shared" si="36"/>
        <v/>
      </c>
      <c r="AM33" s="71">
        <f t="shared" ca="1" si="92"/>
        <v>19</v>
      </c>
      <c r="AN33" s="67">
        <v>37393</v>
      </c>
      <c r="AO33" s="72">
        <f t="shared" ca="1" si="38"/>
        <v>15</v>
      </c>
      <c r="AP33" s="63" t="s">
        <v>231</v>
      </c>
      <c r="AQ33" s="73" t="s">
        <v>264</v>
      </c>
      <c r="AR33" s="70" t="s">
        <v>506</v>
      </c>
      <c r="AS33" s="63">
        <v>3</v>
      </c>
      <c r="AT33" s="63"/>
      <c r="AU33" s="63" t="s">
        <v>265</v>
      </c>
      <c r="AV33" s="63" t="s">
        <v>265</v>
      </c>
      <c r="AW33" s="63">
        <v>17</v>
      </c>
      <c r="AX33" s="63" t="s">
        <v>234</v>
      </c>
      <c r="AY33" s="63" t="s">
        <v>235</v>
      </c>
      <c r="AZ33" s="63" t="s">
        <v>235</v>
      </c>
      <c r="BA33" s="63" t="s">
        <v>235</v>
      </c>
      <c r="BB33" s="63"/>
      <c r="BC33" s="63"/>
      <c r="BD33" s="62"/>
      <c r="BE33" s="71">
        <f t="shared" si="82"/>
        <v>0</v>
      </c>
      <c r="BF33" s="71">
        <f t="shared" si="82"/>
        <v>0</v>
      </c>
      <c r="BG33" s="71">
        <f t="shared" si="40"/>
        <v>0</v>
      </c>
      <c r="BH33" s="74" t="str">
        <f t="shared" si="41"/>
        <v xml:space="preserve"> </v>
      </c>
      <c r="BI33" s="75" t="str">
        <f t="shared" si="42"/>
        <v xml:space="preserve"> </v>
      </c>
      <c r="BJ33" s="71">
        <f t="shared" si="43"/>
        <v>0</v>
      </c>
      <c r="BK33" s="75" t="str">
        <f t="shared" si="44"/>
        <v xml:space="preserve"> </v>
      </c>
      <c r="BL33" s="76">
        <f t="shared" si="83"/>
        <v>0</v>
      </c>
      <c r="BM33" s="77">
        <f t="shared" si="83"/>
        <v>0</v>
      </c>
      <c r="BN33" s="78"/>
      <c r="BO33" s="67"/>
      <c r="BP33" s="67"/>
      <c r="BQ33" s="63"/>
      <c r="BR33" s="63"/>
      <c r="BS33" s="74" t="str">
        <f t="shared" si="49"/>
        <v xml:space="preserve"> </v>
      </c>
      <c r="BT33" s="79">
        <v>0</v>
      </c>
      <c r="BU33" s="79">
        <v>0</v>
      </c>
      <c r="BV33" s="80">
        <v>0</v>
      </c>
      <c r="BW33" s="81">
        <v>0</v>
      </c>
      <c r="BX33" s="82"/>
      <c r="BY33" s="83"/>
      <c r="BZ33" s="83"/>
      <c r="CA33" s="84"/>
      <c r="CB33" s="84"/>
      <c r="CC33" s="74" t="str">
        <f t="shared" si="50"/>
        <v xml:space="preserve"> </v>
      </c>
      <c r="CD33" s="79">
        <v>0</v>
      </c>
      <c r="CE33" s="81">
        <v>0</v>
      </c>
      <c r="CF33" s="85"/>
      <c r="CG33" s="85"/>
      <c r="CH33" s="85"/>
      <c r="CI33" s="78"/>
      <c r="CJ33" s="78"/>
      <c r="CK33" s="74" t="str">
        <f t="shared" si="51"/>
        <v xml:space="preserve"> </v>
      </c>
      <c r="CL33" s="79">
        <v>0</v>
      </c>
      <c r="CM33" s="79">
        <v>0</v>
      </c>
      <c r="CN33" s="86">
        <v>0</v>
      </c>
      <c r="CO33" s="81">
        <v>0</v>
      </c>
      <c r="CP33" s="87"/>
      <c r="CQ33" s="83"/>
      <c r="CR33" s="83"/>
      <c r="CS33" s="82"/>
      <c r="CT33" s="82"/>
      <c r="CU33" s="74" t="str">
        <f t="shared" si="52"/>
        <v xml:space="preserve"> </v>
      </c>
      <c r="CV33" s="79">
        <v>0</v>
      </c>
      <c r="CW33" s="79">
        <v>0</v>
      </c>
      <c r="CX33" s="88">
        <v>0</v>
      </c>
      <c r="CY33" s="81">
        <v>0</v>
      </c>
      <c r="CZ33" s="89"/>
      <c r="DA33" s="67"/>
      <c r="DB33" s="67"/>
      <c r="DC33" s="78"/>
      <c r="DD33" s="78"/>
      <c r="DE33" s="74" t="str">
        <f t="shared" si="53"/>
        <v xml:space="preserve"> </v>
      </c>
      <c r="DF33" s="79">
        <v>0</v>
      </c>
      <c r="DG33" s="79">
        <v>0</v>
      </c>
      <c r="DH33" s="79">
        <v>0</v>
      </c>
      <c r="DI33" s="81">
        <v>0</v>
      </c>
      <c r="DJ33" s="87" t="s">
        <v>336</v>
      </c>
      <c r="DK33" s="83">
        <v>43808</v>
      </c>
      <c r="DL33" s="83">
        <v>43847</v>
      </c>
      <c r="DM33" s="82"/>
      <c r="DN33" s="82"/>
      <c r="DO33" s="74" t="str">
        <f t="shared" si="54"/>
        <v xml:space="preserve"> </v>
      </c>
      <c r="DP33" s="79">
        <v>0</v>
      </c>
      <c r="DQ33" s="79">
        <v>0</v>
      </c>
      <c r="DR33" s="79">
        <v>0</v>
      </c>
      <c r="DS33" s="81">
        <v>0</v>
      </c>
      <c r="DT33" s="89" t="s">
        <v>336</v>
      </c>
      <c r="DU33" s="67">
        <v>43808</v>
      </c>
      <c r="DV33" s="67">
        <v>43847</v>
      </c>
      <c r="DW33" s="78"/>
      <c r="DX33" s="78"/>
      <c r="DY33" s="74" t="str">
        <f t="shared" si="55"/>
        <v xml:space="preserve"> </v>
      </c>
      <c r="DZ33" s="90">
        <v>0</v>
      </c>
      <c r="EA33" s="90">
        <v>0</v>
      </c>
      <c r="EB33" s="90">
        <v>0</v>
      </c>
      <c r="EC33" s="91">
        <v>0</v>
      </c>
      <c r="ED33" s="87"/>
      <c r="EE33" s="83"/>
      <c r="EF33" s="83"/>
      <c r="EG33" s="82"/>
      <c r="EH33" s="82"/>
      <c r="EI33" s="74" t="str">
        <f t="shared" si="46"/>
        <v xml:space="preserve"> </v>
      </c>
      <c r="EJ33" s="92">
        <v>0</v>
      </c>
      <c r="EK33" s="92">
        <v>0</v>
      </c>
      <c r="EL33" s="92">
        <v>0</v>
      </c>
      <c r="EM33" s="93">
        <v>0</v>
      </c>
      <c r="EN33" s="89"/>
      <c r="EO33" s="67"/>
      <c r="EP33" s="67"/>
      <c r="EQ33" s="78"/>
      <c r="ER33" s="78"/>
      <c r="ES33" s="74" t="str">
        <f t="shared" si="47"/>
        <v xml:space="preserve"> </v>
      </c>
      <c r="ET33" s="94">
        <v>0</v>
      </c>
      <c r="EU33" s="94"/>
      <c r="EV33" s="94">
        <v>0</v>
      </c>
      <c r="EW33" s="95">
        <v>0</v>
      </c>
      <c r="EX33" s="87"/>
      <c r="EY33" s="83"/>
      <c r="EZ33" s="83"/>
      <c r="FA33" s="82"/>
      <c r="FB33" s="82"/>
      <c r="FC33" s="74" t="str">
        <f t="shared" si="56"/>
        <v xml:space="preserve"> </v>
      </c>
      <c r="FD33" s="92"/>
      <c r="FE33" s="92"/>
      <c r="FF33" s="92"/>
      <c r="FG33" s="92"/>
      <c r="FH33" s="76">
        <f t="shared" si="57"/>
        <v>0</v>
      </c>
      <c r="FI33" s="89"/>
      <c r="FJ33" s="67"/>
      <c r="FK33" s="67"/>
      <c r="FL33" s="78"/>
      <c r="FM33" s="78"/>
      <c r="FN33" s="74" t="str">
        <f t="shared" si="58"/>
        <v xml:space="preserve"> </v>
      </c>
      <c r="FO33" s="94"/>
      <c r="FP33" s="94"/>
      <c r="FQ33" s="94"/>
      <c r="FR33" s="94"/>
      <c r="FS33" s="76">
        <f t="shared" si="59"/>
        <v>0</v>
      </c>
      <c r="FT33" s="87"/>
      <c r="FU33" s="83"/>
      <c r="FV33" s="83"/>
      <c r="FW33" s="82"/>
      <c r="FX33" s="82"/>
      <c r="FY33" s="74" t="str">
        <f t="shared" si="60"/>
        <v xml:space="preserve"> </v>
      </c>
      <c r="FZ33" s="92"/>
      <c r="GA33" s="92"/>
      <c r="GB33" s="92"/>
      <c r="GC33" s="92"/>
      <c r="GD33" s="76">
        <f t="shared" si="61"/>
        <v>0</v>
      </c>
      <c r="GE33" s="62"/>
      <c r="GF33" s="96" t="s">
        <v>221</v>
      </c>
      <c r="GG33" s="96" t="s">
        <v>221</v>
      </c>
      <c r="GH33" s="63"/>
      <c r="GI33" s="63" t="s">
        <v>221</v>
      </c>
      <c r="GJ33" s="63" t="s">
        <v>221</v>
      </c>
      <c r="GK33" s="97">
        <f t="shared" si="84"/>
        <v>0</v>
      </c>
      <c r="GL33" s="63" t="s">
        <v>221</v>
      </c>
      <c r="GM33" s="98"/>
      <c r="GN33" s="97">
        <f t="shared" si="79"/>
        <v>0</v>
      </c>
      <c r="GO33" s="97" t="str">
        <f t="shared" si="63"/>
        <v xml:space="preserve"> </v>
      </c>
      <c r="GP33" s="62"/>
      <c r="GQ33" s="63"/>
      <c r="GR33" s="63"/>
      <c r="GS33" s="63"/>
      <c r="GT33" s="63"/>
      <c r="GU33" s="63"/>
      <c r="GV33" s="63"/>
      <c r="GW33" s="63"/>
      <c r="GX33" s="63"/>
      <c r="GY33" s="65" t="str">
        <f>IFERROR(IF(IN33&gt;0,"X",""),"")</f>
        <v/>
      </c>
      <c r="GZ33" s="65" t="str">
        <f>IFERROR(IF(JC33&gt;0,"X",""),"")</f>
        <v/>
      </c>
      <c r="HA33" s="63"/>
      <c r="HB33" s="63"/>
      <c r="HC33" s="63"/>
      <c r="HD33" s="63"/>
      <c r="HE33" s="63"/>
      <c r="HF33" s="63"/>
      <c r="HG33" s="63"/>
      <c r="HH33" s="63"/>
      <c r="HI33" s="63"/>
      <c r="HJ33" s="63">
        <v>1</v>
      </c>
      <c r="HK33" s="63"/>
      <c r="HL33" s="65" t="str">
        <f t="shared" si="86"/>
        <v/>
      </c>
      <c r="HM33" s="65" t="str">
        <f t="shared" si="66"/>
        <v/>
      </c>
      <c r="HN33" s="65" t="str">
        <f t="shared" si="85"/>
        <v/>
      </c>
      <c r="HO33" s="65" t="str">
        <f>IFERROR(IF(OR(JE33&gt;0,JF33&gt;0,JG33&gt;0,JH33&gt;0),"x",""),"")</f>
        <v/>
      </c>
      <c r="HP33" s="99" t="str">
        <f t="shared" si="88"/>
        <v/>
      </c>
      <c r="HQ33" s="99" t="str">
        <f>IFERROR(IF(OR(JL33&gt;0,JM33&gt;0,JN33&gt;0,JO33&gt;0),"x",""),"")</f>
        <v/>
      </c>
      <c r="HR33" s="63"/>
      <c r="HS33" s="63"/>
      <c r="HT33" s="63"/>
      <c r="HU33" s="63"/>
      <c r="HV33" s="63"/>
      <c r="HW33" s="63"/>
      <c r="HX33" s="63"/>
      <c r="HY33" s="63"/>
      <c r="HZ33" s="63"/>
      <c r="IA33" s="63"/>
      <c r="IB33" s="63"/>
      <c r="IC33" s="63"/>
      <c r="ID33" s="63"/>
      <c r="IE33" s="63"/>
      <c r="IF33" s="63"/>
      <c r="IG33" s="63"/>
      <c r="IH33" s="63"/>
      <c r="II33" s="63"/>
      <c r="IJ33" s="63"/>
      <c r="IK33" s="63"/>
      <c r="IL33" s="63"/>
      <c r="IM33" s="62"/>
      <c r="IN33" s="101"/>
      <c r="IO33" s="101"/>
      <c r="IP33" s="63"/>
      <c r="IQ33" s="63"/>
      <c r="IR33" s="63"/>
      <c r="IS33" s="63"/>
      <c r="IT33" s="63"/>
      <c r="IU33" s="63"/>
      <c r="IV33" s="63"/>
      <c r="IW33" s="63"/>
      <c r="IX33" s="63"/>
      <c r="IY33" s="63"/>
      <c r="IZ33" s="63"/>
      <c r="JA33" s="65">
        <f t="shared" si="48"/>
        <v>0</v>
      </c>
      <c r="JB33" s="63"/>
      <c r="JC33" s="101"/>
      <c r="JD33" s="101"/>
      <c r="JE33" s="63"/>
      <c r="JF33" s="63"/>
      <c r="JG33" s="63"/>
      <c r="JH33" s="63"/>
      <c r="JI33" s="63"/>
      <c r="JJ33" s="63"/>
      <c r="JK33" s="63"/>
      <c r="JL33" s="63"/>
      <c r="JM33" s="63"/>
      <c r="JN33" s="96"/>
      <c r="JO33" s="63"/>
      <c r="JP33" s="65">
        <f t="shared" si="29"/>
        <v>0</v>
      </c>
      <c r="JQ33" s="96">
        <f>JJ33-JF33</f>
        <v>0</v>
      </c>
      <c r="LM33" s="205"/>
      <c r="LN33" s="102">
        <f>IFERROR(ROWS($IL$8:IL33)," ")</f>
        <v>26</v>
      </c>
      <c r="LO33" s="103" t="str">
        <f>IFERROR(IF([1]Checklist!$C$3='GenInfo (2)'!E33,'GenInfo (2)'!LN33," ")," ")</f>
        <v xml:space="preserve"> </v>
      </c>
      <c r="LP33" s="104" t="str">
        <f>IFERROR(SMALL($LO$8:$LO$94,ROWS($IL$8:IL33))," ")</f>
        <v xml:space="preserve"> </v>
      </c>
      <c r="LQ33" s="102">
        <f>IFERROR(ROWS($IL$8:IL33)," ")</f>
        <v>26</v>
      </c>
      <c r="LR33" s="103" t="str">
        <f>IFERROR(IF([1]Checklist!$C$4='GenInfo (2)'!E33,'GenInfo (2)'!LQ33," ")," ")</f>
        <v xml:space="preserve"> </v>
      </c>
      <c r="LS33" s="104" t="str">
        <f>IFERROR(SMALL($LR$8:$LR$94,ROWS($IL$8:IL33))," ")</f>
        <v xml:space="preserve"> </v>
      </c>
      <c r="LT33" s="102">
        <f>IFERROR(ROWS($IL$8:IL33)," ")</f>
        <v>26</v>
      </c>
      <c r="LU33" s="103" t="str">
        <f>IFERROR(IF([1]Checklist!$C$5='GenInfo (2)'!E33,'GenInfo (2)'!LT33," ")," ")</f>
        <v xml:space="preserve"> </v>
      </c>
      <c r="LV33" s="104" t="str">
        <f>IFERROR(SMALL($LU$8:$LU$94,ROWS($IL$8:IL33))," ")</f>
        <v xml:space="preserve"> </v>
      </c>
      <c r="LW33" s="102">
        <f>IFERROR(ROWS($IL$8:IL33)," ")</f>
        <v>26</v>
      </c>
      <c r="LX33" s="103" t="str">
        <f>IFERROR(IF([1]Checklist!$C$6='GenInfo (2)'!E33,'GenInfo (2)'!LW33," ")," ")</f>
        <v xml:space="preserve"> </v>
      </c>
      <c r="LY33" s="104" t="str">
        <f>IFERROR(SMALL($LX$8:$LX$94,ROWS($IL$8:IL33))," ")</f>
        <v xml:space="preserve"> </v>
      </c>
      <c r="LZ33" s="102">
        <f>IFERROR(ROWS($IL$8:IL33)," ")</f>
        <v>26</v>
      </c>
      <c r="MA33" s="103" t="str">
        <f>IFERROR(IF([1]Checklist!$C$7='GenInfo (2)'!E33,'GenInfo (2)'!LZ33," ")," ")</f>
        <v xml:space="preserve"> </v>
      </c>
      <c r="MB33" s="104" t="str">
        <f>IFERROR(SMALL($MA$8:$MA$94,ROWS($IL$8:IL33))," ")</f>
        <v xml:space="preserve"> </v>
      </c>
      <c r="MC33" s="102">
        <f>IFERROR(ROWS($IL$8:IL33)," ")</f>
        <v>26</v>
      </c>
      <c r="MD33" s="103" t="str">
        <f>IFERROR(IF([1]Checklist!$C$8='GenInfo (2)'!E33,'GenInfo (2)'!MC33," ")," ")</f>
        <v xml:space="preserve"> </v>
      </c>
      <c r="ME33" s="104" t="str">
        <f>IFERROR(SMALL($MD$8:$MD$94,ROWS($IL$8:IL33))," ")</f>
        <v xml:space="preserve"> </v>
      </c>
      <c r="MF33" s="102">
        <f>IFERROR(ROWS($IL$8:IL33)," ")</f>
        <v>26</v>
      </c>
      <c r="MG33" s="103" t="str">
        <f>IFERROR(IF([1]Checklist!$C$9='GenInfo (2)'!E33,'GenInfo (2)'!MF33," ")," ")</f>
        <v xml:space="preserve"> </v>
      </c>
      <c r="MH33" s="104" t="str">
        <f>IFERROR(SMALL($MG$8:$MG$94,ROWS($IL$8:IL33))," ")</f>
        <v xml:space="preserve"> </v>
      </c>
      <c r="MI33" s="102">
        <f>IFERROR(ROWS($IL$8:$IL33)," ")</f>
        <v>26</v>
      </c>
      <c r="MJ33" s="103" t="str">
        <f>IFERROR(IF([1]Checklist!$C$10='GenInfo (2)'!E33,'GenInfo (2)'!MI33," ")," ")</f>
        <v xml:space="preserve"> </v>
      </c>
      <c r="MK33" s="104" t="str">
        <f>IFERROR(SMALL($MJ$8:$MJ$94,ROWS($IL$8:IL33))," ")</f>
        <v xml:space="preserve"> </v>
      </c>
      <c r="ML33" s="102">
        <f>IFERROR(ROWS($IL$8:IL33)," ")</f>
        <v>26</v>
      </c>
      <c r="MM33" s="103" t="str">
        <f>IFERROR(IF([1]Checklist!$C$11='GenInfo (2)'!E33,'GenInfo (2)'!ML33," ")," ")</f>
        <v xml:space="preserve"> </v>
      </c>
      <c r="MN33" s="104" t="str">
        <f>IFERROR(SMALL($MM$8:$MM$94,ROWS($IL$8:IL33))," ")</f>
        <v xml:space="preserve"> </v>
      </c>
      <c r="MO33" s="102">
        <f>IFERROR(ROWS($IL$8:IL33)," ")</f>
        <v>26</v>
      </c>
      <c r="MP33" s="103">
        <f>IFERROR(IF([1]Checklist!$C$12='GenInfo (2)'!E33,'GenInfo (2)'!MO33," ")," ")</f>
        <v>26</v>
      </c>
      <c r="MQ33" s="104" t="str">
        <f>IFERROR(SMALL($MP$8:$MP$94,ROWS($IL$8:IL33))," ")</f>
        <v xml:space="preserve"> </v>
      </c>
      <c r="MR33" s="102">
        <f>IFERROR(ROWS($IL$8:IL33)," ")</f>
        <v>26</v>
      </c>
      <c r="MS33" s="103" t="str">
        <f>IFERROR(IF([1]Checklist!$C$13='GenInfo (2)'!E33,'GenInfo (2)'!MR33," ")," ")</f>
        <v xml:space="preserve"> </v>
      </c>
      <c r="MT33" s="104" t="str">
        <f>IFERROR(SMALL($MS$8:$MS$94,ROWS($IL$8:IL33))," ")</f>
        <v xml:space="preserve"> </v>
      </c>
      <c r="MU33" s="102">
        <f>IFERROR(ROWS($IL$8:IL33)," ")</f>
        <v>26</v>
      </c>
      <c r="MV33" s="103" t="str">
        <f>IFERROR(IF([1]Checklist!$C$14='GenInfo (2)'!E33,'GenInfo (2)'!MU33," ")," ")</f>
        <v xml:space="preserve"> </v>
      </c>
      <c r="MW33" s="104" t="str">
        <f>IFERROR(SMALL($MV$8:$MV$94,ROWS($IL$8:IL33))," ")</f>
        <v xml:space="preserve"> </v>
      </c>
      <c r="MX33" s="102">
        <f>IFERROR(ROWS($IL$8:IL33)," ")</f>
        <v>26</v>
      </c>
      <c r="MY33" s="103" t="str">
        <f>IFERROR(IF([1]Checklist!$C$15='GenInfo (2)'!E33,'GenInfo (2)'!MX33," ")," ")</f>
        <v xml:space="preserve"> </v>
      </c>
      <c r="MZ33" s="104" t="str">
        <f>IFERROR(SMALL($MY$8:$MY$94,ROWS($IL$8:IL33))," ")</f>
        <v xml:space="preserve"> </v>
      </c>
      <c r="NA33" s="102">
        <f>IFERROR(ROWS($IL$8:IL33)," ")</f>
        <v>26</v>
      </c>
      <c r="NB33" s="103" t="str">
        <f>IFERROR(IF([1]Checklist!$C$16='GenInfo (2)'!E33,'GenInfo (2)'!NA33," ")," ")</f>
        <v xml:space="preserve"> </v>
      </c>
      <c r="NC33" s="104" t="str">
        <f>IFERROR(SMALL($NB$8:$NB$94,ROWS($IL$8:IL33))," ")</f>
        <v xml:space="preserve"> </v>
      </c>
      <c r="ND33" s="102">
        <f>IFERROR(ROWS($IL$8:IL33)," ")</f>
        <v>26</v>
      </c>
      <c r="NE33" s="103" t="str">
        <f>IFERROR(IF([1]Checklist!$C$17='GenInfo (2)'!E33,'GenInfo (2)'!ND33," ")," ")</f>
        <v xml:space="preserve"> </v>
      </c>
      <c r="NF33" s="104" t="str">
        <f>IFERROR(SMALL($NE$8:$NE$94,ROWS($IL$8:IL33))," ")</f>
        <v xml:space="preserve"> </v>
      </c>
    </row>
    <row r="34" spans="1:370" ht="28.5" x14ac:dyDescent="0.45">
      <c r="A34" s="37" t="s">
        <v>213</v>
      </c>
      <c r="B34" s="37">
        <v>188</v>
      </c>
      <c r="C34" s="146" t="s">
        <v>507</v>
      </c>
      <c r="D34" t="s">
        <v>508</v>
      </c>
      <c r="E34" s="106" t="s">
        <v>509</v>
      </c>
      <c r="F34" s="96" t="s">
        <v>510</v>
      </c>
      <c r="G34" s="107" t="s">
        <v>218</v>
      </c>
      <c r="H34" s="96"/>
      <c r="I34" s="132" t="s">
        <v>511</v>
      </c>
      <c r="J34" s="96" t="s">
        <v>512</v>
      </c>
      <c r="K34" s="111"/>
      <c r="L34" s="108" t="s">
        <v>221</v>
      </c>
      <c r="M34" s="108" t="s">
        <v>221</v>
      </c>
      <c r="N34" s="108"/>
      <c r="O34" s="109" t="s">
        <v>221</v>
      </c>
      <c r="P34" s="108"/>
      <c r="Q34" s="108"/>
      <c r="R34" s="96"/>
      <c r="S34" s="108"/>
      <c r="T34" s="96"/>
      <c r="U34" s="111"/>
      <c r="V34" s="108">
        <v>43556</v>
      </c>
      <c r="W34" s="63" t="s">
        <v>222</v>
      </c>
      <c r="X34" s="110"/>
      <c r="Y34" s="108"/>
      <c r="Z34" s="110"/>
      <c r="AA34" s="133"/>
      <c r="AB34" s="96" t="s">
        <v>513</v>
      </c>
      <c r="AC34" s="96" t="s">
        <v>514</v>
      </c>
      <c r="AD34" s="96" t="s">
        <v>515</v>
      </c>
      <c r="AE34" s="96" t="s">
        <v>516</v>
      </c>
      <c r="AF34" s="96" t="s">
        <v>517</v>
      </c>
      <c r="AG34" s="96"/>
      <c r="AH34" s="96" t="s">
        <v>251</v>
      </c>
      <c r="AI34" s="96" t="s">
        <v>230</v>
      </c>
      <c r="AJ34" s="96">
        <v>60641</v>
      </c>
      <c r="AK34" s="111"/>
      <c r="AL34" s="71">
        <f t="shared" si="36"/>
        <v>17</v>
      </c>
      <c r="AM34" s="71">
        <f t="shared" ca="1" si="92"/>
        <v>20</v>
      </c>
      <c r="AN34" s="110">
        <v>37160</v>
      </c>
      <c r="AO34" s="72">
        <f t="shared" ca="1" si="38"/>
        <v>7</v>
      </c>
      <c r="AP34" s="110" t="s">
        <v>313</v>
      </c>
      <c r="AQ34" s="73" t="s">
        <v>264</v>
      </c>
      <c r="AR34" s="107" t="s">
        <v>288</v>
      </c>
      <c r="AS34" s="96">
        <v>3</v>
      </c>
      <c r="AT34" s="96"/>
      <c r="AU34" s="96">
        <v>13</v>
      </c>
      <c r="AV34" s="96">
        <v>5</v>
      </c>
      <c r="AW34" s="96">
        <v>156</v>
      </c>
      <c r="AX34" s="96" t="s">
        <v>234</v>
      </c>
      <c r="AY34" s="96" t="s">
        <v>290</v>
      </c>
      <c r="AZ34" s="96" t="s">
        <v>235</v>
      </c>
      <c r="BA34" s="96" t="s">
        <v>235</v>
      </c>
      <c r="BB34" s="96"/>
      <c r="BC34" s="114"/>
      <c r="BD34" s="112"/>
      <c r="BE34" s="71">
        <f t="shared" si="82"/>
        <v>6</v>
      </c>
      <c r="BF34" s="71">
        <f t="shared" si="82"/>
        <v>6</v>
      </c>
      <c r="BG34" s="71">
        <f t="shared" si="40"/>
        <v>2</v>
      </c>
      <c r="BH34" s="74">
        <f t="shared" si="41"/>
        <v>0.70538981142696322</v>
      </c>
      <c r="BI34" s="75">
        <f t="shared" si="42"/>
        <v>0.33333333333333331</v>
      </c>
      <c r="BJ34" s="71">
        <f t="shared" si="43"/>
        <v>4</v>
      </c>
      <c r="BK34" s="75">
        <f t="shared" si="44"/>
        <v>0.66666666666666663</v>
      </c>
      <c r="BL34" s="76">
        <f t="shared" si="83"/>
        <v>62.5</v>
      </c>
      <c r="BM34" s="77">
        <f t="shared" si="83"/>
        <v>310</v>
      </c>
      <c r="BN34" s="114"/>
      <c r="BO34" s="110"/>
      <c r="BP34" s="110"/>
      <c r="BQ34" s="115">
        <v>8</v>
      </c>
      <c r="BR34" s="115">
        <v>5</v>
      </c>
      <c r="BS34" s="74">
        <f t="shared" si="49"/>
        <v>0.625</v>
      </c>
      <c r="BT34" s="79">
        <v>0</v>
      </c>
      <c r="BU34" s="79">
        <v>0</v>
      </c>
      <c r="BV34" s="80">
        <v>0</v>
      </c>
      <c r="BW34" s="81">
        <v>0</v>
      </c>
      <c r="BX34" s="116"/>
      <c r="BY34" s="117"/>
      <c r="BZ34" s="117"/>
      <c r="CA34" s="128">
        <v>2</v>
      </c>
      <c r="CB34" s="128">
        <v>2</v>
      </c>
      <c r="CC34" s="74">
        <f t="shared" si="50"/>
        <v>1</v>
      </c>
      <c r="CD34" s="79">
        <v>0</v>
      </c>
      <c r="CE34" s="81">
        <v>0</v>
      </c>
      <c r="CF34" s="119"/>
      <c r="CG34" s="119"/>
      <c r="CH34" s="119"/>
      <c r="CI34" s="114">
        <v>19</v>
      </c>
      <c r="CJ34" s="114">
        <v>13</v>
      </c>
      <c r="CK34" s="74">
        <f t="shared" si="51"/>
        <v>0.68421052631578949</v>
      </c>
      <c r="CL34" s="79">
        <v>0</v>
      </c>
      <c r="CM34" s="79">
        <v>0</v>
      </c>
      <c r="CN34" s="86">
        <v>0</v>
      </c>
      <c r="CO34" s="81">
        <v>0</v>
      </c>
      <c r="CP34" s="120"/>
      <c r="CQ34" s="121"/>
      <c r="CR34" s="121"/>
      <c r="CS34" s="116">
        <v>22</v>
      </c>
      <c r="CT34" s="116">
        <v>17</v>
      </c>
      <c r="CU34" s="74">
        <f t="shared" si="52"/>
        <v>0.77272727272727271</v>
      </c>
      <c r="CV34" s="79">
        <v>10</v>
      </c>
      <c r="CW34" s="79">
        <v>15</v>
      </c>
      <c r="CX34" s="88">
        <v>25</v>
      </c>
      <c r="CY34" s="81">
        <v>150</v>
      </c>
      <c r="CZ34" s="122"/>
      <c r="DA34" s="108"/>
      <c r="DB34" s="108"/>
      <c r="DC34" s="114">
        <v>11</v>
      </c>
      <c r="DD34" s="114">
        <v>10</v>
      </c>
      <c r="DE34" s="74">
        <f t="shared" si="53"/>
        <v>0.90909090909090906</v>
      </c>
      <c r="DF34" s="79">
        <v>12.5</v>
      </c>
      <c r="DG34" s="79">
        <v>0</v>
      </c>
      <c r="DH34" s="79">
        <v>12.5</v>
      </c>
      <c r="DI34" s="81">
        <v>75</v>
      </c>
      <c r="DJ34" s="120"/>
      <c r="DK34" s="121"/>
      <c r="DL34" s="121"/>
      <c r="DM34" s="116">
        <v>11</v>
      </c>
      <c r="DN34" s="116">
        <v>5</v>
      </c>
      <c r="DO34" s="74">
        <f t="shared" si="54"/>
        <v>0.45454545454545453</v>
      </c>
      <c r="DP34" s="79">
        <v>6.5</v>
      </c>
      <c r="DQ34" s="79">
        <v>7.5</v>
      </c>
      <c r="DR34" s="79">
        <v>14</v>
      </c>
      <c r="DS34" s="81">
        <v>84</v>
      </c>
      <c r="DT34" s="122"/>
      <c r="DU34" s="108"/>
      <c r="DV34" s="108"/>
      <c r="DW34" s="114">
        <v>17</v>
      </c>
      <c r="DX34" s="114">
        <v>16</v>
      </c>
      <c r="DY34" s="74">
        <f t="shared" si="55"/>
        <v>0.94117647058823528</v>
      </c>
      <c r="DZ34" s="90">
        <v>0</v>
      </c>
      <c r="EA34" s="90">
        <v>0</v>
      </c>
      <c r="EB34" s="90">
        <v>0</v>
      </c>
      <c r="EC34" s="91">
        <v>0</v>
      </c>
      <c r="ED34" s="120"/>
      <c r="EE34" s="121"/>
      <c r="EF34" s="121"/>
      <c r="EG34" s="116">
        <v>17</v>
      </c>
      <c r="EH34" s="116">
        <v>8</v>
      </c>
      <c r="EI34" s="74">
        <f t="shared" si="46"/>
        <v>0.47058823529411764</v>
      </c>
      <c r="EJ34" s="92">
        <v>14</v>
      </c>
      <c r="EK34" s="92">
        <v>7</v>
      </c>
      <c r="EL34" s="92">
        <v>21</v>
      </c>
      <c r="EM34" s="93">
        <v>126</v>
      </c>
      <c r="EN34" s="122"/>
      <c r="EO34" s="108"/>
      <c r="EP34" s="108"/>
      <c r="EQ34" s="114">
        <v>10</v>
      </c>
      <c r="ER34" s="114">
        <v>10</v>
      </c>
      <c r="ES34" s="74">
        <f t="shared" si="47"/>
        <v>1</v>
      </c>
      <c r="ET34" s="94">
        <v>16</v>
      </c>
      <c r="EU34" s="90"/>
      <c r="EV34" s="94">
        <v>16</v>
      </c>
      <c r="EW34" s="95">
        <v>96</v>
      </c>
      <c r="EX34" s="120"/>
      <c r="EY34" s="121"/>
      <c r="EZ34" s="121"/>
      <c r="FA34" s="116"/>
      <c r="FB34" s="116"/>
      <c r="FC34" s="74" t="str">
        <f t="shared" si="56"/>
        <v xml:space="preserve"> </v>
      </c>
      <c r="FD34" s="123"/>
      <c r="FE34" s="123"/>
      <c r="FF34" s="123"/>
      <c r="FG34" s="123"/>
      <c r="FH34" s="76">
        <f t="shared" si="57"/>
        <v>0</v>
      </c>
      <c r="FI34" s="122"/>
      <c r="FJ34" s="108"/>
      <c r="FK34" s="108"/>
      <c r="FL34" s="114"/>
      <c r="FM34" s="114"/>
      <c r="FN34" s="74" t="str">
        <f t="shared" si="58"/>
        <v xml:space="preserve"> </v>
      </c>
      <c r="FO34" s="90"/>
      <c r="FP34" s="90"/>
      <c r="FQ34" s="90"/>
      <c r="FR34" s="90"/>
      <c r="FS34" s="76">
        <f t="shared" si="59"/>
        <v>0</v>
      </c>
      <c r="FT34" s="120"/>
      <c r="FU34" s="121"/>
      <c r="FV34" s="121"/>
      <c r="FW34" s="116"/>
      <c r="FX34" s="116"/>
      <c r="FY34" s="74" t="str">
        <f t="shared" si="60"/>
        <v xml:space="preserve"> </v>
      </c>
      <c r="FZ34" s="123"/>
      <c r="GA34" s="123"/>
      <c r="GB34" s="123"/>
      <c r="GC34" s="123"/>
      <c r="GD34" s="76">
        <f t="shared" si="61"/>
        <v>0</v>
      </c>
      <c r="GE34" s="153"/>
      <c r="GF34" s="96">
        <v>11</v>
      </c>
      <c r="GG34" s="96" t="s">
        <v>351</v>
      </c>
      <c r="GH34" s="79"/>
      <c r="GI34" s="63"/>
      <c r="GJ34" s="63"/>
      <c r="GK34" s="97">
        <f t="shared" si="84"/>
        <v>0</v>
      </c>
      <c r="GL34" s="63">
        <v>0</v>
      </c>
      <c r="GM34" s="79"/>
      <c r="GN34" s="97">
        <f t="shared" si="79"/>
        <v>0</v>
      </c>
      <c r="GO34" s="97">
        <f t="shared" si="63"/>
        <v>11</v>
      </c>
      <c r="GP34" s="130"/>
      <c r="GQ34" s="96" t="s">
        <v>213</v>
      </c>
      <c r="GR34" s="96" t="s">
        <v>213</v>
      </c>
      <c r="GS34" s="96" t="s">
        <v>213</v>
      </c>
      <c r="GT34" s="96" t="s">
        <v>213</v>
      </c>
      <c r="GU34" s="96" t="s">
        <v>323</v>
      </c>
      <c r="GV34" s="96" t="s">
        <v>323</v>
      </c>
      <c r="GW34" s="96" t="s">
        <v>213</v>
      </c>
      <c r="GX34" s="96" t="s">
        <v>213</v>
      </c>
      <c r="GY34" s="65" t="str">
        <f t="shared" ref="GY34" si="93">IFERROR(IF(IN34&gt;0,"X",""),"")</f>
        <v>X</v>
      </c>
      <c r="GZ34" s="65" t="str">
        <f t="shared" ref="GZ34" si="94">IFERROR(IF(JC34&gt;0,"X",""),"")</f>
        <v>X</v>
      </c>
      <c r="HA34" s="100" t="s">
        <v>213</v>
      </c>
      <c r="HB34" s="100" t="s">
        <v>213</v>
      </c>
      <c r="HC34" s="100">
        <v>0</v>
      </c>
      <c r="HD34" s="100">
        <v>0</v>
      </c>
      <c r="HE34" s="100">
        <v>0</v>
      </c>
      <c r="HF34" s="100">
        <v>0</v>
      </c>
      <c r="HG34" s="100" t="s">
        <v>213</v>
      </c>
      <c r="HH34" s="144">
        <v>1</v>
      </c>
      <c r="HI34" s="100">
        <v>0</v>
      </c>
      <c r="HJ34" s="100">
        <v>0</v>
      </c>
      <c r="HK34" s="100">
        <v>0</v>
      </c>
      <c r="HL34" s="65" t="str">
        <f>IFERROR(IF(OR(IQ34&gt;0,IR34&gt;0,IS34&gt;0),"x",""),"")</f>
        <v>x</v>
      </c>
      <c r="HM34" s="65" t="str">
        <f t="shared" si="66"/>
        <v/>
      </c>
      <c r="HN34" s="65" t="s">
        <v>239</v>
      </c>
      <c r="HO34" s="65" t="str">
        <f>IFERROR(IF(OR(JE34&gt;0,JF34&gt;0,JG34&gt;0,JH34&gt;0),"x",""),"")</f>
        <v>x</v>
      </c>
      <c r="HP34" s="65" t="str">
        <f>IFERROR(IF(OR(JI34&gt;0,JJ34&gt;0,JK34&gt;0),"x",""),"")</f>
        <v/>
      </c>
      <c r="HQ34" s="65" t="s">
        <v>239</v>
      </c>
      <c r="HR34" s="96"/>
      <c r="HS34" s="96" t="s">
        <v>213</v>
      </c>
      <c r="HT34" s="96"/>
      <c r="HU34" s="96" t="s">
        <v>237</v>
      </c>
      <c r="HV34" s="96"/>
      <c r="HW34" s="96"/>
      <c r="HX34" s="96" t="s">
        <v>213</v>
      </c>
      <c r="HY34" s="96"/>
      <c r="HZ34" s="96" t="s">
        <v>213</v>
      </c>
      <c r="IA34" s="96" t="s">
        <v>237</v>
      </c>
      <c r="IB34" s="96"/>
      <c r="IC34" s="96" t="s">
        <v>213</v>
      </c>
      <c r="ID34" s="96" t="s">
        <v>240</v>
      </c>
      <c r="IE34" s="100" t="s">
        <v>213</v>
      </c>
      <c r="IF34" s="100" t="s">
        <v>213</v>
      </c>
      <c r="IG34" s="100" t="s">
        <v>213</v>
      </c>
      <c r="IH34" s="100" t="s">
        <v>213</v>
      </c>
      <c r="II34" s="100" t="s">
        <v>213</v>
      </c>
      <c r="IJ34" s="100" t="s">
        <v>213</v>
      </c>
      <c r="IK34" s="100" t="s">
        <v>213</v>
      </c>
      <c r="IL34" s="100"/>
      <c r="IM34" s="111"/>
      <c r="IN34" s="125">
        <v>4</v>
      </c>
      <c r="IO34" s="125"/>
      <c r="IP34" s="96"/>
      <c r="IQ34" s="96"/>
      <c r="IR34" s="96">
        <v>3.5</v>
      </c>
      <c r="IS34" s="96"/>
      <c r="IT34" s="96"/>
      <c r="IU34" s="96"/>
      <c r="IV34" s="96"/>
      <c r="IW34" s="96"/>
      <c r="IX34" s="96"/>
      <c r="IY34" s="96"/>
      <c r="IZ34" s="96"/>
      <c r="JA34" s="65">
        <f t="shared" si="48"/>
        <v>1</v>
      </c>
      <c r="JB34" s="96"/>
      <c r="JC34" s="125">
        <v>3.9</v>
      </c>
      <c r="JD34" s="125"/>
      <c r="JE34" s="96"/>
      <c r="JF34" s="96"/>
      <c r="JG34" s="96">
        <v>3.5</v>
      </c>
      <c r="JH34" s="96"/>
      <c r="JI34" s="96"/>
      <c r="JJ34" s="96"/>
      <c r="JK34" s="96"/>
      <c r="JL34" s="96"/>
      <c r="JM34" s="96"/>
      <c r="JN34" s="96"/>
      <c r="JO34" s="96"/>
      <c r="JP34" s="65">
        <f t="shared" si="29"/>
        <v>1</v>
      </c>
      <c r="JQ34" s="63"/>
      <c r="LM34" s="205"/>
      <c r="LN34" s="102">
        <f>IFERROR(ROWS($IL$8:IL34)," ")</f>
        <v>27</v>
      </c>
      <c r="LO34" s="103" t="str">
        <f>IFERROR(IF([1]Checklist!$C$3='GenInfo (2)'!E34,'GenInfo (2)'!LN34," ")," ")</f>
        <v xml:space="preserve"> </v>
      </c>
      <c r="LP34" s="104" t="str">
        <f>IFERROR(SMALL($LO$8:$LO$94,ROWS($IL$8:IL34))," ")</f>
        <v xml:space="preserve"> </v>
      </c>
      <c r="LQ34" s="102">
        <f>IFERROR(ROWS($IL$8:IL34)," ")</f>
        <v>27</v>
      </c>
      <c r="LR34" s="103" t="str">
        <f>IFERROR(IF([1]Checklist!$C$4='GenInfo (2)'!E34,'GenInfo (2)'!LQ34," ")," ")</f>
        <v xml:space="preserve"> </v>
      </c>
      <c r="LS34" s="104" t="str">
        <f>IFERROR(SMALL($LR$8:$LR$94,ROWS($IL$8:IL34))," ")</f>
        <v xml:space="preserve"> </v>
      </c>
      <c r="LT34" s="102">
        <f>IFERROR(ROWS($IL$8:IL34)," ")</f>
        <v>27</v>
      </c>
      <c r="LU34" s="103" t="str">
        <f>IFERROR(IF([1]Checklist!$C$5='GenInfo (2)'!E34,'GenInfo (2)'!LT34," ")," ")</f>
        <v xml:space="preserve"> </v>
      </c>
      <c r="LV34" s="104" t="str">
        <f>IFERROR(SMALL($LU$8:$LU$94,ROWS($IL$8:IL34))," ")</f>
        <v xml:space="preserve"> </v>
      </c>
      <c r="LW34" s="102">
        <f>IFERROR(ROWS($IL$8:IL34)," ")</f>
        <v>27</v>
      </c>
      <c r="LX34" s="103" t="str">
        <f>IFERROR(IF([1]Checklist!$C$6='GenInfo (2)'!E34,'GenInfo (2)'!LW34," ")," ")</f>
        <v xml:space="preserve"> </v>
      </c>
      <c r="LY34" s="104" t="str">
        <f>IFERROR(SMALL($LX$8:$LX$94,ROWS($IL$8:IL34))," ")</f>
        <v xml:space="preserve"> </v>
      </c>
      <c r="LZ34" s="102">
        <f>IFERROR(ROWS($IL$8:IL34)," ")</f>
        <v>27</v>
      </c>
      <c r="MA34" s="103" t="str">
        <f>IFERROR(IF([1]Checklist!$C$7='GenInfo (2)'!E34,'GenInfo (2)'!LZ34," ")," ")</f>
        <v xml:space="preserve"> </v>
      </c>
      <c r="MB34" s="104" t="str">
        <f>IFERROR(SMALL($MA$8:$MA$94,ROWS($IL$8:IL34))," ")</f>
        <v xml:space="preserve"> </v>
      </c>
      <c r="MC34" s="102">
        <f>IFERROR(ROWS($IL$8:IL34)," ")</f>
        <v>27</v>
      </c>
      <c r="MD34" s="103" t="str">
        <f>IFERROR(IF([1]Checklist!$C$8='GenInfo (2)'!E34,'GenInfo (2)'!MC34," ")," ")</f>
        <v xml:space="preserve"> </v>
      </c>
      <c r="ME34" s="104" t="str">
        <f>IFERROR(SMALL($MD$8:$MD$94,ROWS($IL$8:IL34))," ")</f>
        <v xml:space="preserve"> </v>
      </c>
      <c r="MF34" s="102">
        <f>IFERROR(ROWS($IL$8:IL34)," ")</f>
        <v>27</v>
      </c>
      <c r="MG34" s="103" t="str">
        <f>IFERROR(IF([1]Checklist!$C$9='GenInfo (2)'!E34,'GenInfo (2)'!MF34," ")," ")</f>
        <v xml:space="preserve"> </v>
      </c>
      <c r="MH34" s="104" t="str">
        <f>IFERROR(SMALL($MG$8:$MG$94,ROWS($IL$8:IL34))," ")</f>
        <v xml:space="preserve"> </v>
      </c>
      <c r="MI34" s="102">
        <f>IFERROR(ROWS($IL$8:$IL34)," ")</f>
        <v>27</v>
      </c>
      <c r="MJ34" s="103" t="str">
        <f>IFERROR(IF([1]Checklist!$C$10='GenInfo (2)'!E34,'GenInfo (2)'!MI34," ")," ")</f>
        <v xml:space="preserve"> </v>
      </c>
      <c r="MK34" s="104" t="str">
        <f>IFERROR(SMALL($MJ$8:$MJ$94,ROWS($IL$8:IL34))," ")</f>
        <v xml:space="preserve"> </v>
      </c>
      <c r="ML34" s="102">
        <f>IFERROR(ROWS($IL$8:IL34)," ")</f>
        <v>27</v>
      </c>
      <c r="MM34" s="103" t="str">
        <f>IFERROR(IF([1]Checklist!$C$11='GenInfo (2)'!E34,'GenInfo (2)'!ML34," ")," ")</f>
        <v xml:space="preserve"> </v>
      </c>
      <c r="MN34" s="104" t="str">
        <f>IFERROR(SMALL($MM$8:$MM$94,ROWS($IL$8:IL34))," ")</f>
        <v xml:space="preserve"> </v>
      </c>
      <c r="MO34" s="102">
        <f>IFERROR(ROWS($IL$8:IL34)," ")</f>
        <v>27</v>
      </c>
      <c r="MP34" s="103" t="str">
        <f>IFERROR(IF([1]Checklist!$C$12='GenInfo (2)'!E34,'GenInfo (2)'!MO34," ")," ")</f>
        <v xml:space="preserve"> </v>
      </c>
      <c r="MQ34" s="104" t="str">
        <f>IFERROR(SMALL($MP$8:$MP$94,ROWS($IL$8:IL34))," ")</f>
        <v xml:space="preserve"> </v>
      </c>
      <c r="MR34" s="102">
        <f>IFERROR(ROWS($IL$8:IL34)," ")</f>
        <v>27</v>
      </c>
      <c r="MS34" s="103">
        <f>IFERROR(IF([1]Checklist!$C$13='GenInfo (2)'!E34,'GenInfo (2)'!MR34," ")," ")</f>
        <v>27</v>
      </c>
      <c r="MT34" s="104" t="str">
        <f>IFERROR(SMALL($MS$8:$MS$94,ROWS($IL$8:IL34))," ")</f>
        <v xml:space="preserve"> </v>
      </c>
      <c r="MU34" s="102">
        <f>IFERROR(ROWS($IL$8:IL34)," ")</f>
        <v>27</v>
      </c>
      <c r="MV34" s="103" t="str">
        <f>IFERROR(IF([1]Checklist!$C$14='GenInfo (2)'!E34,'GenInfo (2)'!MU34," ")," ")</f>
        <v xml:space="preserve"> </v>
      </c>
      <c r="MW34" s="104" t="str">
        <f>IFERROR(SMALL($MV$8:$MV$94,ROWS($IL$8:IL34))," ")</f>
        <v xml:space="preserve"> </v>
      </c>
      <c r="MX34" s="102">
        <f>IFERROR(ROWS($IL$8:IL34)," ")</f>
        <v>27</v>
      </c>
      <c r="MY34" s="103" t="str">
        <f>IFERROR(IF([1]Checklist!$C$15='GenInfo (2)'!E34,'GenInfo (2)'!MX34," ")," ")</f>
        <v xml:space="preserve"> </v>
      </c>
      <c r="MZ34" s="104" t="str">
        <f>IFERROR(SMALL($MY$8:$MY$94,ROWS($IL$8:IL34))," ")</f>
        <v xml:space="preserve"> </v>
      </c>
      <c r="NA34" s="102">
        <f>IFERROR(ROWS($IL$8:IL34)," ")</f>
        <v>27</v>
      </c>
      <c r="NB34" s="103" t="str">
        <f>IFERROR(IF([1]Checklist!$C$16='GenInfo (2)'!E34,'GenInfo (2)'!NA34," ")," ")</f>
        <v xml:space="preserve"> </v>
      </c>
      <c r="NC34" s="104" t="str">
        <f>IFERROR(SMALL($NB$8:$NB$94,ROWS($IL$8:IL34))," ")</f>
        <v xml:space="preserve"> </v>
      </c>
      <c r="ND34" s="102">
        <f>IFERROR(ROWS($IL$8:IL34)," ")</f>
        <v>27</v>
      </c>
      <c r="NE34" s="103" t="str">
        <f>IFERROR(IF([1]Checklist!$C$17='GenInfo (2)'!E34,'GenInfo (2)'!ND34," ")," ")</f>
        <v xml:space="preserve"> </v>
      </c>
      <c r="NF34" s="104" t="str">
        <f>IFERROR(SMALL($NE$8:$NE$94,ROWS($IL$8:IL34))," ")</f>
        <v xml:space="preserve"> </v>
      </c>
    </row>
    <row r="35" spans="1:370" ht="28.5" x14ac:dyDescent="0.45">
      <c r="A35" s="37" t="s">
        <v>213</v>
      </c>
      <c r="B35" s="37">
        <v>191</v>
      </c>
      <c r="C35" s="146" t="s">
        <v>518</v>
      </c>
      <c r="D35" t="s">
        <v>519</v>
      </c>
      <c r="E35" s="64" t="s">
        <v>509</v>
      </c>
      <c r="F35" s="63" t="s">
        <v>520</v>
      </c>
      <c r="G35" s="64" t="s">
        <v>218</v>
      </c>
      <c r="H35" s="63"/>
      <c r="I35" s="132" t="s">
        <v>521</v>
      </c>
      <c r="J35" s="63" t="s">
        <v>522</v>
      </c>
      <c r="K35" s="62"/>
      <c r="L35" s="67">
        <v>43714</v>
      </c>
      <c r="M35" s="67">
        <v>43714</v>
      </c>
      <c r="N35" s="67" t="s">
        <v>213</v>
      </c>
      <c r="O35" s="68">
        <v>43709</v>
      </c>
      <c r="P35" s="67"/>
      <c r="Q35" s="67"/>
      <c r="R35" s="63"/>
      <c r="S35" s="67"/>
      <c r="T35" s="63"/>
      <c r="U35" s="62"/>
      <c r="V35" s="67">
        <v>43720</v>
      </c>
      <c r="W35" s="63" t="s">
        <v>222</v>
      </c>
      <c r="X35" s="69"/>
      <c r="Y35" s="67"/>
      <c r="Z35" s="69"/>
      <c r="AA35" s="62"/>
      <c r="AB35" s="63" t="s">
        <v>523</v>
      </c>
      <c r="AC35" s="63" t="s">
        <v>524</v>
      </c>
      <c r="AD35" s="63"/>
      <c r="AE35" s="63" t="s">
        <v>525</v>
      </c>
      <c r="AF35" s="63" t="s">
        <v>526</v>
      </c>
      <c r="AG35" s="63"/>
      <c r="AH35" s="63" t="s">
        <v>251</v>
      </c>
      <c r="AI35" s="63" t="s">
        <v>230</v>
      </c>
      <c r="AJ35" s="63">
        <v>60655</v>
      </c>
      <c r="AK35" s="62"/>
      <c r="AL35" s="71">
        <f t="shared" si="36"/>
        <v>19</v>
      </c>
      <c r="AM35" s="71">
        <f ca="1">IFERROR(DATEDIF($AN35,TODAY(),"y"),"")</f>
        <v>21</v>
      </c>
      <c r="AN35" s="67">
        <v>36700</v>
      </c>
      <c r="AO35" s="72" t="str">
        <f t="shared" ca="1" si="38"/>
        <v/>
      </c>
      <c r="AP35" s="63" t="s">
        <v>313</v>
      </c>
      <c r="AQ35" s="73" t="s">
        <v>264</v>
      </c>
      <c r="AR35" s="70" t="s">
        <v>288</v>
      </c>
      <c r="AS35" s="63"/>
      <c r="AT35" s="63"/>
      <c r="AU35" s="63"/>
      <c r="AV35" s="63"/>
      <c r="AW35" s="63"/>
      <c r="AX35" s="63" t="s">
        <v>236</v>
      </c>
      <c r="AY35" s="63" t="s">
        <v>290</v>
      </c>
      <c r="AZ35" s="63" t="s">
        <v>235</v>
      </c>
      <c r="BA35" s="63" t="s">
        <v>235</v>
      </c>
      <c r="BB35" s="63"/>
      <c r="BC35" s="63"/>
      <c r="BD35" s="62"/>
      <c r="BE35" s="71">
        <f t="shared" si="82"/>
        <v>5</v>
      </c>
      <c r="BF35" s="71">
        <f t="shared" si="82"/>
        <v>5</v>
      </c>
      <c r="BG35" s="71">
        <f t="shared" si="40"/>
        <v>3</v>
      </c>
      <c r="BH35" s="74">
        <f t="shared" si="41"/>
        <v>0.4123809523809524</v>
      </c>
      <c r="BI35" s="75">
        <f t="shared" si="42"/>
        <v>0.6</v>
      </c>
      <c r="BJ35" s="71">
        <f t="shared" si="43"/>
        <v>0</v>
      </c>
      <c r="BK35" s="75">
        <f t="shared" si="44"/>
        <v>0</v>
      </c>
      <c r="BL35" s="76">
        <f t="shared" si="83"/>
        <v>0</v>
      </c>
      <c r="BM35" s="77">
        <f t="shared" si="83"/>
        <v>0</v>
      </c>
      <c r="BN35" s="78"/>
      <c r="BO35" s="67"/>
      <c r="BP35" s="67"/>
      <c r="BQ35" s="63"/>
      <c r="BR35" s="63"/>
      <c r="BS35" s="74" t="str">
        <f t="shared" si="49"/>
        <v xml:space="preserve"> </v>
      </c>
      <c r="BT35" s="79">
        <v>0</v>
      </c>
      <c r="BU35" s="79">
        <v>0</v>
      </c>
      <c r="BV35" s="80">
        <v>0</v>
      </c>
      <c r="BW35" s="81">
        <v>0</v>
      </c>
      <c r="BX35" s="82"/>
      <c r="BY35" s="83"/>
      <c r="BZ35" s="83"/>
      <c r="CA35" s="84"/>
      <c r="CB35" s="84"/>
      <c r="CC35" s="74" t="str">
        <f t="shared" si="50"/>
        <v xml:space="preserve"> </v>
      </c>
      <c r="CD35" s="79">
        <v>0</v>
      </c>
      <c r="CE35" s="81">
        <v>0</v>
      </c>
      <c r="CF35" s="85"/>
      <c r="CG35" s="85"/>
      <c r="CH35" s="85"/>
      <c r="CI35" s="78">
        <v>5</v>
      </c>
      <c r="CJ35" s="78">
        <v>4</v>
      </c>
      <c r="CK35" s="74">
        <f t="shared" si="51"/>
        <v>0.8</v>
      </c>
      <c r="CL35" s="79">
        <v>0</v>
      </c>
      <c r="CM35" s="79">
        <v>0</v>
      </c>
      <c r="CN35" s="86">
        <v>0</v>
      </c>
      <c r="CO35" s="81">
        <v>0</v>
      </c>
      <c r="CP35" s="87"/>
      <c r="CQ35" s="83"/>
      <c r="CR35" s="83"/>
      <c r="CS35" s="82">
        <v>16</v>
      </c>
      <c r="CT35" s="82">
        <v>8</v>
      </c>
      <c r="CU35" s="74">
        <f t="shared" si="52"/>
        <v>0.5</v>
      </c>
      <c r="CV35" s="79">
        <v>0</v>
      </c>
      <c r="CW35" s="79">
        <v>0</v>
      </c>
      <c r="CX35" s="88">
        <v>0</v>
      </c>
      <c r="CY35" s="81">
        <v>0</v>
      </c>
      <c r="CZ35" s="89"/>
      <c r="DA35" s="67"/>
      <c r="DB35" s="67"/>
      <c r="DC35" s="78">
        <v>7</v>
      </c>
      <c r="DD35" s="78">
        <v>3</v>
      </c>
      <c r="DE35" s="74">
        <f t="shared" si="53"/>
        <v>0.42857142857142855</v>
      </c>
      <c r="DF35" s="79">
        <v>0</v>
      </c>
      <c r="DG35" s="79">
        <v>0</v>
      </c>
      <c r="DH35" s="79">
        <v>0</v>
      </c>
      <c r="DI35" s="81">
        <v>0</v>
      </c>
      <c r="DJ35" s="87"/>
      <c r="DK35" s="83"/>
      <c r="DL35" s="83"/>
      <c r="DM35" s="82">
        <v>12</v>
      </c>
      <c r="DN35" s="82">
        <v>2</v>
      </c>
      <c r="DO35" s="74">
        <f t="shared" si="54"/>
        <v>0.16666666666666666</v>
      </c>
      <c r="DP35" s="79">
        <v>0</v>
      </c>
      <c r="DQ35" s="79">
        <v>0</v>
      </c>
      <c r="DR35" s="79">
        <v>0</v>
      </c>
      <c r="DS35" s="81">
        <v>0</v>
      </c>
      <c r="DT35" s="89"/>
      <c r="DU35" s="67"/>
      <c r="DV35" s="67"/>
      <c r="DW35" s="78">
        <v>18</v>
      </c>
      <c r="DX35" s="78">
        <v>3</v>
      </c>
      <c r="DY35" s="74">
        <f t="shared" si="55"/>
        <v>0.16666666666666666</v>
      </c>
      <c r="DZ35" s="90">
        <v>0</v>
      </c>
      <c r="EA35" s="90">
        <v>0</v>
      </c>
      <c r="EB35" s="90">
        <v>0</v>
      </c>
      <c r="EC35" s="91">
        <v>0</v>
      </c>
      <c r="ED35" s="87" t="s">
        <v>336</v>
      </c>
      <c r="EE35" s="83"/>
      <c r="EF35" s="83"/>
      <c r="EG35" s="82"/>
      <c r="EH35" s="82"/>
      <c r="EI35" s="74" t="str">
        <f t="shared" si="46"/>
        <v xml:space="preserve"> </v>
      </c>
      <c r="EJ35" s="92">
        <v>0</v>
      </c>
      <c r="EK35" s="92">
        <v>0</v>
      </c>
      <c r="EL35" s="92">
        <v>0</v>
      </c>
      <c r="EM35" s="93">
        <v>0</v>
      </c>
      <c r="EN35" s="89"/>
      <c r="EO35" s="67"/>
      <c r="EP35" s="67"/>
      <c r="EQ35" s="78">
        <v>10</v>
      </c>
      <c r="ER35" s="78">
        <v>0</v>
      </c>
      <c r="ES35" s="74">
        <f t="shared" si="47"/>
        <v>0</v>
      </c>
      <c r="ET35" s="94">
        <v>0</v>
      </c>
      <c r="EU35" s="94"/>
      <c r="EV35" s="94">
        <v>0</v>
      </c>
      <c r="EW35" s="95">
        <v>0</v>
      </c>
      <c r="EX35" s="87"/>
      <c r="EY35" s="83"/>
      <c r="EZ35" s="83"/>
      <c r="FA35" s="82"/>
      <c r="FB35" s="82"/>
      <c r="FC35" s="74" t="str">
        <f t="shared" si="56"/>
        <v xml:space="preserve"> </v>
      </c>
      <c r="FD35" s="92"/>
      <c r="FE35" s="92"/>
      <c r="FF35" s="92"/>
      <c r="FG35" s="92"/>
      <c r="FH35" s="76">
        <f t="shared" si="57"/>
        <v>0</v>
      </c>
      <c r="FI35" s="89"/>
      <c r="FJ35" s="67"/>
      <c r="FK35" s="67"/>
      <c r="FL35" s="78"/>
      <c r="FM35" s="78"/>
      <c r="FN35" s="74" t="str">
        <f t="shared" si="58"/>
        <v xml:space="preserve"> </v>
      </c>
      <c r="FO35" s="94"/>
      <c r="FP35" s="94"/>
      <c r="FQ35" s="94"/>
      <c r="FR35" s="94"/>
      <c r="FS35" s="76">
        <f t="shared" si="59"/>
        <v>0</v>
      </c>
      <c r="FT35" s="87"/>
      <c r="FU35" s="83"/>
      <c r="FV35" s="83"/>
      <c r="FW35" s="82"/>
      <c r="FX35" s="82"/>
      <c r="FY35" s="74" t="str">
        <f t="shared" si="60"/>
        <v xml:space="preserve"> </v>
      </c>
      <c r="FZ35" s="92"/>
      <c r="GA35" s="92"/>
      <c r="GB35" s="92"/>
      <c r="GC35" s="92"/>
      <c r="GD35" s="76">
        <f t="shared" si="61"/>
        <v>0</v>
      </c>
      <c r="GE35" s="62"/>
      <c r="GF35" s="96">
        <v>14</v>
      </c>
      <c r="GG35" s="96" t="s">
        <v>236</v>
      </c>
      <c r="GH35" s="63"/>
      <c r="GI35" s="63"/>
      <c r="GJ35" s="63"/>
      <c r="GK35" s="97">
        <f t="shared" si="84"/>
        <v>0</v>
      </c>
      <c r="GL35" s="63">
        <v>0</v>
      </c>
      <c r="GM35" s="98"/>
      <c r="GN35" s="97">
        <f t="shared" si="79"/>
        <v>0</v>
      </c>
      <c r="GO35" s="97">
        <f t="shared" si="63"/>
        <v>14</v>
      </c>
      <c r="GP35" s="62"/>
      <c r="GQ35" s="63" t="s">
        <v>213</v>
      </c>
      <c r="GR35" s="63" t="s">
        <v>213</v>
      </c>
      <c r="GS35" s="63" t="s">
        <v>213</v>
      </c>
      <c r="GT35" s="63" t="s">
        <v>213</v>
      </c>
      <c r="GU35" s="63" t="s">
        <v>213</v>
      </c>
      <c r="GV35" s="63" t="s">
        <v>213</v>
      </c>
      <c r="GW35" s="63" t="s">
        <v>213</v>
      </c>
      <c r="GX35" s="63" t="s">
        <v>213</v>
      </c>
      <c r="GY35" s="65" t="str">
        <f>IFERROR(IF(IN35&gt;0,"X",""),"")</f>
        <v>X</v>
      </c>
      <c r="GZ35" s="65" t="str">
        <f>IFERROR(IF(JC35&gt;0,"X",""),"")</f>
        <v>X</v>
      </c>
      <c r="HA35" s="63" t="s">
        <v>213</v>
      </c>
      <c r="HB35" s="63" t="s">
        <v>213</v>
      </c>
      <c r="HC35" s="63"/>
      <c r="HD35" s="63"/>
      <c r="HE35" s="63"/>
      <c r="HF35" s="63"/>
      <c r="HG35" s="63" t="s">
        <v>213</v>
      </c>
      <c r="HH35" s="63"/>
      <c r="HI35" s="63"/>
      <c r="HJ35" s="63"/>
      <c r="HK35" s="63"/>
      <c r="HL35" s="65" t="str">
        <f>IFERROR(IF(OR(IQ35&gt;0,IR35&gt;0,IS35&gt;0),"x",""),"")</f>
        <v>x</v>
      </c>
      <c r="HM35" s="65" t="str">
        <f t="shared" si="66"/>
        <v/>
      </c>
      <c r="HN35" s="65" t="s">
        <v>239</v>
      </c>
      <c r="HO35" s="65" t="str">
        <f>IFERROR(IF(OR(JE35&gt;0,JF35&gt;0,JG35&gt;0,JH35&gt;0),"x",""),"")</f>
        <v>x</v>
      </c>
      <c r="HP35" s="99" t="str">
        <f>IFERROR(IF(OR(JI35&gt;0,JJ35&gt;0,JK35&gt;0),"x",""),"")</f>
        <v/>
      </c>
      <c r="HQ35" s="65" t="s">
        <v>239</v>
      </c>
      <c r="HR35" s="63"/>
      <c r="HS35" s="63" t="s">
        <v>213</v>
      </c>
      <c r="HT35" s="63"/>
      <c r="HU35" s="96" t="s">
        <v>237</v>
      </c>
      <c r="HV35" s="63"/>
      <c r="HW35" s="63"/>
      <c r="HX35" s="63" t="s">
        <v>213</v>
      </c>
      <c r="HY35" s="63"/>
      <c r="HZ35" s="63" t="s">
        <v>239</v>
      </c>
      <c r="IA35" s="96" t="s">
        <v>237</v>
      </c>
      <c r="IB35" s="63"/>
      <c r="IC35" s="63" t="s">
        <v>213</v>
      </c>
      <c r="ID35" s="63"/>
      <c r="IE35" s="63"/>
      <c r="IF35" s="63"/>
      <c r="IG35" s="63"/>
      <c r="IH35" s="63"/>
      <c r="II35" s="63"/>
      <c r="IJ35" s="63" t="s">
        <v>213</v>
      </c>
      <c r="IK35" s="63"/>
      <c r="IL35" s="63"/>
      <c r="IM35" s="62"/>
      <c r="IN35" s="101">
        <v>7.7</v>
      </c>
      <c r="IO35" s="101"/>
      <c r="IP35" s="63"/>
      <c r="IQ35" s="63">
        <v>7.7</v>
      </c>
      <c r="IR35" s="63"/>
      <c r="IS35" s="63"/>
      <c r="IT35" s="63"/>
      <c r="IU35" s="96"/>
      <c r="IV35" s="63"/>
      <c r="IW35" s="63"/>
      <c r="IX35" s="63"/>
      <c r="IY35" s="63"/>
      <c r="IZ35" s="63"/>
      <c r="JA35" s="65">
        <f t="shared" si="48"/>
        <v>1</v>
      </c>
      <c r="JB35" s="63"/>
      <c r="JC35" s="101">
        <v>8.9</v>
      </c>
      <c r="JD35" s="101"/>
      <c r="JE35" s="63"/>
      <c r="JF35" s="63">
        <v>8.9</v>
      </c>
      <c r="JG35" s="63"/>
      <c r="JH35" s="63"/>
      <c r="JI35" s="63"/>
      <c r="JJ35" s="96"/>
      <c r="JK35" s="63"/>
      <c r="JL35" s="63"/>
      <c r="JM35" s="96"/>
      <c r="JN35" s="63"/>
      <c r="JO35" s="63"/>
      <c r="JP35" s="65">
        <f t="shared" si="29"/>
        <v>1</v>
      </c>
      <c r="JQ35" s="63"/>
      <c r="LM35" s="205"/>
      <c r="LN35" s="102">
        <f>IFERROR(ROWS($IL$8:IL35)," ")</f>
        <v>28</v>
      </c>
      <c r="LO35" s="103" t="str">
        <f>IFERROR(IF([1]Checklist!$C$3='GenInfo (2)'!E35,'GenInfo (2)'!LN35," ")," ")</f>
        <v xml:space="preserve"> </v>
      </c>
      <c r="LP35" s="104" t="str">
        <f>IFERROR(SMALL($LO$8:$LO$94,ROWS($IL$8:IL35))," ")</f>
        <v xml:space="preserve"> </v>
      </c>
      <c r="LQ35" s="102">
        <f>IFERROR(ROWS($IL$8:IL35)," ")</f>
        <v>28</v>
      </c>
      <c r="LR35" s="103" t="str">
        <f>IFERROR(IF([1]Checklist!$C$4='GenInfo (2)'!E35,'GenInfo (2)'!LQ35," ")," ")</f>
        <v xml:space="preserve"> </v>
      </c>
      <c r="LS35" s="104" t="str">
        <f>IFERROR(SMALL($LR$8:$LR$94,ROWS($IL$8:IL35))," ")</f>
        <v xml:space="preserve"> </v>
      </c>
      <c r="LT35" s="102">
        <f>IFERROR(ROWS($IL$8:IL35)," ")</f>
        <v>28</v>
      </c>
      <c r="LU35" s="103" t="str">
        <f>IFERROR(IF([1]Checklist!$C$5='GenInfo (2)'!E35,'GenInfo (2)'!LT35," ")," ")</f>
        <v xml:space="preserve"> </v>
      </c>
      <c r="LV35" s="104" t="str">
        <f>IFERROR(SMALL($LU$8:$LU$94,ROWS($IL$8:IL35))," ")</f>
        <v xml:space="preserve"> </v>
      </c>
      <c r="LW35" s="102">
        <f>IFERROR(ROWS($IL$8:IL35)," ")</f>
        <v>28</v>
      </c>
      <c r="LX35" s="103" t="str">
        <f>IFERROR(IF([1]Checklist!$C$6='GenInfo (2)'!E35,'GenInfo (2)'!LW35," ")," ")</f>
        <v xml:space="preserve"> </v>
      </c>
      <c r="LY35" s="104" t="str">
        <f>IFERROR(SMALL($LX$8:$LX$94,ROWS($IL$8:IL35))," ")</f>
        <v xml:space="preserve"> </v>
      </c>
      <c r="LZ35" s="102">
        <f>IFERROR(ROWS($IL$8:IL35)," ")</f>
        <v>28</v>
      </c>
      <c r="MA35" s="103" t="str">
        <f>IFERROR(IF([1]Checklist!$C$7='GenInfo (2)'!E35,'GenInfo (2)'!LZ35," ")," ")</f>
        <v xml:space="preserve"> </v>
      </c>
      <c r="MB35" s="104" t="str">
        <f>IFERROR(SMALL($MA$8:$MA$94,ROWS($IL$8:IL35))," ")</f>
        <v xml:space="preserve"> </v>
      </c>
      <c r="MC35" s="102">
        <f>IFERROR(ROWS($IL$8:IL35)," ")</f>
        <v>28</v>
      </c>
      <c r="MD35" s="103" t="str">
        <f>IFERROR(IF([1]Checklist!$C$8='GenInfo (2)'!E35,'GenInfo (2)'!MC35," ")," ")</f>
        <v xml:space="preserve"> </v>
      </c>
      <c r="ME35" s="104" t="str">
        <f>IFERROR(SMALL($MD$8:$MD$94,ROWS($IL$8:IL35))," ")</f>
        <v xml:space="preserve"> </v>
      </c>
      <c r="MF35" s="102">
        <f>IFERROR(ROWS($IL$8:IL35)," ")</f>
        <v>28</v>
      </c>
      <c r="MG35" s="103" t="str">
        <f>IFERROR(IF([1]Checklist!$C$9='GenInfo (2)'!E35,'GenInfo (2)'!MF35," ")," ")</f>
        <v xml:space="preserve"> </v>
      </c>
      <c r="MH35" s="104" t="str">
        <f>IFERROR(SMALL($MG$8:$MG$94,ROWS($IL$8:IL35))," ")</f>
        <v xml:space="preserve"> </v>
      </c>
      <c r="MI35" s="102">
        <f>IFERROR(ROWS($IL$8:$IL35)," ")</f>
        <v>28</v>
      </c>
      <c r="MJ35" s="103" t="str">
        <f>IFERROR(IF([1]Checklist!$C$10='GenInfo (2)'!E35,'GenInfo (2)'!MI35," ")," ")</f>
        <v xml:space="preserve"> </v>
      </c>
      <c r="MK35" s="104" t="str">
        <f>IFERROR(SMALL($MJ$8:$MJ$94,ROWS($IL$8:IL35))," ")</f>
        <v xml:space="preserve"> </v>
      </c>
      <c r="ML35" s="102">
        <f>IFERROR(ROWS($IL$8:IL35)," ")</f>
        <v>28</v>
      </c>
      <c r="MM35" s="103" t="str">
        <f>IFERROR(IF([1]Checklist!$C$11='GenInfo (2)'!E35,'GenInfo (2)'!ML35," ")," ")</f>
        <v xml:space="preserve"> </v>
      </c>
      <c r="MN35" s="104" t="str">
        <f>IFERROR(SMALL($MM$8:$MM$94,ROWS($IL$8:IL35))," ")</f>
        <v xml:space="preserve"> </v>
      </c>
      <c r="MO35" s="102">
        <f>IFERROR(ROWS($IL$8:IL35)," ")</f>
        <v>28</v>
      </c>
      <c r="MP35" s="103" t="str">
        <f>IFERROR(IF([1]Checklist!$C$12='GenInfo (2)'!E35,'GenInfo (2)'!MO35," ")," ")</f>
        <v xml:space="preserve"> </v>
      </c>
      <c r="MQ35" s="104" t="str">
        <f>IFERROR(SMALL($MP$8:$MP$94,ROWS($IL$8:IL35))," ")</f>
        <v xml:space="preserve"> </v>
      </c>
      <c r="MR35" s="102">
        <f>IFERROR(ROWS($IL$8:IL35)," ")</f>
        <v>28</v>
      </c>
      <c r="MS35" s="103">
        <f>IFERROR(IF([1]Checklist!$C$13='GenInfo (2)'!E35,'GenInfo (2)'!MR35," ")," ")</f>
        <v>28</v>
      </c>
      <c r="MT35" s="104" t="str">
        <f>IFERROR(SMALL($MS$8:$MS$94,ROWS($IL$8:IL35))," ")</f>
        <v xml:space="preserve"> </v>
      </c>
      <c r="MU35" s="102">
        <f>IFERROR(ROWS($IL$8:IL35)," ")</f>
        <v>28</v>
      </c>
      <c r="MV35" s="103" t="str">
        <f>IFERROR(IF([1]Checklist!$C$14='GenInfo (2)'!E35,'GenInfo (2)'!MU35," ")," ")</f>
        <v xml:space="preserve"> </v>
      </c>
      <c r="MW35" s="104" t="str">
        <f>IFERROR(SMALL($MV$8:$MV$94,ROWS($IL$8:IL35))," ")</f>
        <v xml:space="preserve"> </v>
      </c>
      <c r="MX35" s="102">
        <f>IFERROR(ROWS($IL$8:IL35)," ")</f>
        <v>28</v>
      </c>
      <c r="MY35" s="103" t="str">
        <f>IFERROR(IF([1]Checklist!$C$15='GenInfo (2)'!E35,'GenInfo (2)'!MX35," ")," ")</f>
        <v xml:space="preserve"> </v>
      </c>
      <c r="MZ35" s="104" t="str">
        <f>IFERROR(SMALL($MY$8:$MY$94,ROWS($IL$8:IL35))," ")</f>
        <v xml:space="preserve"> </v>
      </c>
      <c r="NA35" s="102">
        <f>IFERROR(ROWS($IL$8:IL35)," ")</f>
        <v>28</v>
      </c>
      <c r="NB35" s="103" t="str">
        <f>IFERROR(IF([1]Checklist!$C$16='GenInfo (2)'!E35,'GenInfo (2)'!NA35," ")," ")</f>
        <v xml:space="preserve"> </v>
      </c>
      <c r="NC35" s="104" t="str">
        <f>IFERROR(SMALL($NB$8:$NB$94,ROWS($IL$8:IL35))," ")</f>
        <v xml:space="preserve"> </v>
      </c>
      <c r="ND35" s="102">
        <f>IFERROR(ROWS($IL$8:IL35)," ")</f>
        <v>28</v>
      </c>
      <c r="NE35" s="103" t="str">
        <f>IFERROR(IF([1]Checklist!$C$17='GenInfo (2)'!E35,'GenInfo (2)'!ND35," ")," ")</f>
        <v xml:space="preserve"> </v>
      </c>
      <c r="NF35" s="104" t="str">
        <f>IFERROR(SMALL($NE$8:$NE$94,ROWS($IL$8:IL35))," ")</f>
        <v xml:space="preserve"> </v>
      </c>
    </row>
    <row r="36" spans="1:370" ht="28.5" x14ac:dyDescent="0.45">
      <c r="A36" s="37" t="s">
        <v>213</v>
      </c>
      <c r="B36" s="37">
        <v>194</v>
      </c>
      <c r="C36" s="146" t="s">
        <v>527</v>
      </c>
      <c r="D36" t="s">
        <v>528</v>
      </c>
      <c r="E36" s="64" t="s">
        <v>509</v>
      </c>
      <c r="F36" s="63" t="s">
        <v>529</v>
      </c>
      <c r="G36" s="64" t="s">
        <v>530</v>
      </c>
      <c r="H36" s="63"/>
      <c r="I36" s="132" t="s">
        <v>531</v>
      </c>
      <c r="J36" s="63" t="s">
        <v>532</v>
      </c>
      <c r="K36" s="62"/>
      <c r="L36" s="154">
        <v>43940</v>
      </c>
      <c r="M36" s="67">
        <v>43941</v>
      </c>
      <c r="N36" s="138" t="s">
        <v>213</v>
      </c>
      <c r="O36" s="138">
        <v>43922</v>
      </c>
      <c r="P36" s="63"/>
      <c r="Q36" s="63"/>
      <c r="R36" s="63"/>
      <c r="S36" s="63"/>
      <c r="T36" s="63"/>
      <c r="U36" s="63"/>
      <c r="V36" s="63"/>
      <c r="W36" s="63"/>
      <c r="X36" s="101"/>
      <c r="Y36" s="101"/>
      <c r="Z36" s="101"/>
      <c r="AA36" s="63"/>
      <c r="AB36" s="63" t="s">
        <v>364</v>
      </c>
      <c r="AC36" s="63" t="s">
        <v>533</v>
      </c>
      <c r="AD36" s="96" t="s">
        <v>366</v>
      </c>
      <c r="AE36" s="63"/>
      <c r="AF36" s="96" t="s">
        <v>368</v>
      </c>
      <c r="AG36" s="63"/>
      <c r="AH36" s="63" t="s">
        <v>251</v>
      </c>
      <c r="AI36" s="63" t="s">
        <v>230</v>
      </c>
      <c r="AJ36" s="63">
        <v>60619</v>
      </c>
      <c r="AK36" s="63"/>
      <c r="AL36" s="63"/>
      <c r="AM36" s="63">
        <v>16</v>
      </c>
      <c r="AN36" s="67">
        <v>37733</v>
      </c>
      <c r="AO36" s="63"/>
      <c r="AP36" s="63" t="s">
        <v>231</v>
      </c>
      <c r="AQ36" s="73" t="s">
        <v>264</v>
      </c>
      <c r="AR36" s="139" t="s">
        <v>534</v>
      </c>
      <c r="AS36" s="63">
        <v>3</v>
      </c>
      <c r="AT36" s="63" t="s">
        <v>265</v>
      </c>
      <c r="AU36" s="63">
        <v>11</v>
      </c>
      <c r="AV36" s="63" t="s">
        <v>265</v>
      </c>
      <c r="AW36" s="63" t="s">
        <v>265</v>
      </c>
      <c r="AX36" s="63" t="s">
        <v>234</v>
      </c>
      <c r="AY36" s="63" t="s">
        <v>235</v>
      </c>
      <c r="AZ36" s="63" t="s">
        <v>235</v>
      </c>
      <c r="BA36" s="63"/>
      <c r="BB36" s="63"/>
      <c r="BC36" s="63"/>
      <c r="BD36" s="62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3"/>
      <c r="DD36" s="63"/>
      <c r="DE36" s="63"/>
      <c r="DF36" s="63"/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/>
      <c r="DU36" s="63"/>
      <c r="DV36" s="63"/>
      <c r="DW36" s="63"/>
      <c r="DX36" s="63"/>
      <c r="DY36" s="63"/>
      <c r="DZ36" s="63"/>
      <c r="EA36" s="63"/>
      <c r="EB36" s="63"/>
      <c r="EC36" s="63"/>
      <c r="ED36" s="63"/>
      <c r="EE36" s="63"/>
      <c r="EF36" s="63"/>
      <c r="EG36" s="63"/>
      <c r="EH36" s="63"/>
      <c r="EI36" s="63"/>
      <c r="EJ36" s="63"/>
      <c r="EK36" s="63"/>
      <c r="EL36" s="63"/>
      <c r="EM36" s="63"/>
      <c r="EN36" s="63"/>
      <c r="EO36" s="63"/>
      <c r="EP36" s="63"/>
      <c r="EQ36" s="63"/>
      <c r="ER36" s="63"/>
      <c r="ES36" s="63"/>
      <c r="ET36" s="63"/>
      <c r="EU36" s="63"/>
      <c r="EV36" s="63"/>
      <c r="EW36" s="63"/>
      <c r="EX36" s="63"/>
      <c r="EY36" s="63"/>
      <c r="EZ36" s="63"/>
      <c r="FA36" s="63"/>
      <c r="FB36" s="63"/>
      <c r="FC36" s="63"/>
      <c r="FD36" s="63"/>
      <c r="FE36" s="63"/>
      <c r="FF36" s="63"/>
      <c r="FG36" s="63"/>
      <c r="FH36" s="63"/>
      <c r="FI36" s="63"/>
      <c r="FJ36" s="63"/>
      <c r="FK36" s="63"/>
      <c r="FL36" s="63"/>
      <c r="FM36" s="63"/>
      <c r="FN36" s="63"/>
      <c r="FO36" s="63"/>
      <c r="FP36" s="63"/>
      <c r="FQ36" s="63"/>
      <c r="FR36" s="63"/>
      <c r="FS36" s="63"/>
      <c r="FT36" s="63"/>
      <c r="FU36" s="63"/>
      <c r="FV36" s="63"/>
      <c r="FW36" s="63"/>
      <c r="FX36" s="63"/>
      <c r="FY36" s="63"/>
      <c r="FZ36" s="63"/>
      <c r="GA36" s="63"/>
      <c r="GB36" s="63"/>
      <c r="GC36" s="63"/>
      <c r="GD36" s="63"/>
      <c r="GE36" s="63"/>
      <c r="GF36" s="63"/>
      <c r="GG36" s="63"/>
      <c r="GH36" s="63"/>
      <c r="GI36" s="63" t="s">
        <v>221</v>
      </c>
      <c r="GJ36" s="63" t="s">
        <v>221</v>
      </c>
      <c r="GK36" s="97">
        <f t="shared" si="84"/>
        <v>0</v>
      </c>
      <c r="GL36" s="63" t="s">
        <v>221</v>
      </c>
      <c r="GM36" s="63"/>
      <c r="GN36" s="63"/>
      <c r="GO36" s="63"/>
      <c r="GP36" s="63"/>
      <c r="GQ36" s="63" t="s">
        <v>213</v>
      </c>
      <c r="GR36" s="63"/>
      <c r="GS36" s="63"/>
      <c r="GT36" s="63" t="s">
        <v>213</v>
      </c>
      <c r="GU36" s="63" t="s">
        <v>213</v>
      </c>
      <c r="GV36" s="63" t="s">
        <v>213</v>
      </c>
      <c r="GW36" s="63" t="s">
        <v>213</v>
      </c>
      <c r="GX36" s="63" t="s">
        <v>238</v>
      </c>
      <c r="GY36" s="63"/>
      <c r="GZ36" s="63"/>
      <c r="HA36" s="63"/>
      <c r="HB36" s="63"/>
      <c r="HC36" s="63"/>
      <c r="HD36" s="63"/>
      <c r="HE36" s="63"/>
      <c r="HF36" s="63"/>
      <c r="HG36" s="63"/>
      <c r="HH36" s="63">
        <v>1</v>
      </c>
      <c r="HI36" s="63"/>
      <c r="HJ36" s="63"/>
      <c r="HK36" s="63"/>
      <c r="HL36" s="63"/>
      <c r="HM36" s="63"/>
      <c r="HN36" s="63"/>
      <c r="HO36" s="63"/>
      <c r="HP36" s="63"/>
      <c r="HQ36" s="63"/>
      <c r="HR36" s="63"/>
      <c r="HS36" s="63"/>
      <c r="HT36" s="63"/>
      <c r="HU36" s="63"/>
      <c r="HV36" s="63"/>
      <c r="HW36" s="63"/>
      <c r="HX36" s="63"/>
      <c r="HY36" s="63"/>
      <c r="HZ36" s="63"/>
      <c r="IA36" s="63"/>
      <c r="IB36" s="63"/>
      <c r="IC36" s="63"/>
      <c r="ID36" s="63"/>
      <c r="IE36" s="63"/>
      <c r="IF36" s="63"/>
      <c r="IG36" s="63"/>
      <c r="IH36" s="63"/>
      <c r="II36" s="63"/>
      <c r="IJ36" s="63"/>
      <c r="IK36" s="63"/>
      <c r="IL36" s="63"/>
      <c r="IM36" s="63"/>
      <c r="IN36" s="63"/>
      <c r="IO36" s="63"/>
      <c r="IP36" s="63"/>
      <c r="IQ36" s="63"/>
      <c r="IR36" s="63"/>
      <c r="IS36" s="63"/>
      <c r="IT36" s="63"/>
      <c r="IU36" s="63"/>
      <c r="IV36" s="63"/>
      <c r="IW36" s="63"/>
      <c r="IX36" s="63"/>
      <c r="IY36" s="63"/>
      <c r="IZ36" s="63"/>
      <c r="JA36" s="63"/>
      <c r="JB36" s="63"/>
      <c r="JC36" s="63"/>
      <c r="JD36" s="63"/>
      <c r="JE36" s="63"/>
      <c r="JF36" s="63"/>
      <c r="JG36" s="63"/>
      <c r="JH36" s="63"/>
      <c r="JI36" s="63"/>
      <c r="JJ36" s="63"/>
      <c r="JK36" s="63"/>
      <c r="JL36" s="63"/>
      <c r="JM36" s="63"/>
      <c r="JN36" s="63"/>
      <c r="JO36" s="96"/>
      <c r="JP36" s="65">
        <f t="shared" si="29"/>
        <v>0</v>
      </c>
      <c r="JQ36" s="96">
        <f>JJ36-JF36</f>
        <v>0</v>
      </c>
      <c r="LM36" s="205"/>
      <c r="LN36" s="102">
        <f>IFERROR(ROWS($IL$8:IL36)," ")</f>
        <v>29</v>
      </c>
      <c r="LO36" s="103" t="str">
        <f>IFERROR(IF([1]Checklist!$C$3='GenInfo (2)'!E36,'GenInfo (2)'!LN36," ")," ")</f>
        <v xml:space="preserve"> </v>
      </c>
      <c r="LP36" s="104" t="str">
        <f>IFERROR(SMALL($LO$8:$LO$94,ROWS($IL$8:IL36))," ")</f>
        <v xml:space="preserve"> </v>
      </c>
      <c r="LQ36" s="102">
        <f>IFERROR(ROWS($IL$8:IL36)," ")</f>
        <v>29</v>
      </c>
      <c r="LR36" s="103" t="str">
        <f>IFERROR(IF([1]Checklist!$C$4='GenInfo (2)'!E36,'GenInfo (2)'!LQ36," ")," ")</f>
        <v xml:space="preserve"> </v>
      </c>
      <c r="LS36" s="104" t="str">
        <f>IFERROR(SMALL($LR$8:$LR$94,ROWS($IL$8:IL36))," ")</f>
        <v xml:space="preserve"> </v>
      </c>
      <c r="LT36" s="102">
        <f>IFERROR(ROWS($IL$8:IL36)," ")</f>
        <v>29</v>
      </c>
      <c r="LU36" s="103" t="str">
        <f>IFERROR(IF([1]Checklist!$C$5='GenInfo (2)'!E36,'GenInfo (2)'!LT36," ")," ")</f>
        <v xml:space="preserve"> </v>
      </c>
      <c r="LV36" s="104" t="str">
        <f>IFERROR(SMALL($LU$8:$LU$94,ROWS($IL$8:IL36))," ")</f>
        <v xml:space="preserve"> </v>
      </c>
      <c r="LW36" s="102">
        <f>IFERROR(ROWS($IL$8:IL36)," ")</f>
        <v>29</v>
      </c>
      <c r="LX36" s="103" t="str">
        <f>IFERROR(IF([1]Checklist!$C$6='GenInfo (2)'!E36,'GenInfo (2)'!LW36," ")," ")</f>
        <v xml:space="preserve"> </v>
      </c>
      <c r="LY36" s="104" t="str">
        <f>IFERROR(SMALL($LX$8:$LX$94,ROWS($IL$8:IL36))," ")</f>
        <v xml:space="preserve"> </v>
      </c>
      <c r="LZ36" s="102">
        <f>IFERROR(ROWS($IL$8:IL36)," ")</f>
        <v>29</v>
      </c>
      <c r="MA36" s="103" t="str">
        <f>IFERROR(IF([1]Checklist!$C$7='GenInfo (2)'!E36,'GenInfo (2)'!LZ36," ")," ")</f>
        <v xml:space="preserve"> </v>
      </c>
      <c r="MB36" s="104" t="str">
        <f>IFERROR(SMALL($MA$8:$MA$94,ROWS($IL$8:IL36))," ")</f>
        <v xml:space="preserve"> </v>
      </c>
      <c r="MC36" s="102">
        <f>IFERROR(ROWS($IL$8:IL36)," ")</f>
        <v>29</v>
      </c>
      <c r="MD36" s="103" t="str">
        <f>IFERROR(IF([1]Checklist!$C$8='GenInfo (2)'!E36,'GenInfo (2)'!MC36," ")," ")</f>
        <v xml:space="preserve"> </v>
      </c>
      <c r="ME36" s="104" t="str">
        <f>IFERROR(SMALL($MD$8:$MD$94,ROWS($IL$8:IL36))," ")</f>
        <v xml:space="preserve"> </v>
      </c>
      <c r="MF36" s="102">
        <f>IFERROR(ROWS($IL$8:IL36)," ")</f>
        <v>29</v>
      </c>
      <c r="MG36" s="103" t="str">
        <f>IFERROR(IF([1]Checklist!$C$9='GenInfo (2)'!E36,'GenInfo (2)'!MF36," ")," ")</f>
        <v xml:space="preserve"> </v>
      </c>
      <c r="MH36" s="104" t="str">
        <f>IFERROR(SMALL($MG$8:$MG$94,ROWS($IL$8:IL36))," ")</f>
        <v xml:space="preserve"> </v>
      </c>
      <c r="MI36" s="102">
        <f>IFERROR(ROWS($IL$8:$IL36)," ")</f>
        <v>29</v>
      </c>
      <c r="MJ36" s="103" t="str">
        <f>IFERROR(IF([1]Checklist!$C$10='GenInfo (2)'!E36,'GenInfo (2)'!MI36," ")," ")</f>
        <v xml:space="preserve"> </v>
      </c>
      <c r="MK36" s="104" t="str">
        <f>IFERROR(SMALL($MJ$8:$MJ$94,ROWS($IL$8:IL36))," ")</f>
        <v xml:space="preserve"> </v>
      </c>
      <c r="ML36" s="102">
        <f>IFERROR(ROWS($IL$8:IL36)," ")</f>
        <v>29</v>
      </c>
      <c r="MM36" s="103" t="str">
        <f>IFERROR(IF([1]Checklist!$C$11='GenInfo (2)'!E36,'GenInfo (2)'!ML36," ")," ")</f>
        <v xml:space="preserve"> </v>
      </c>
      <c r="MN36" s="104" t="str">
        <f>IFERROR(SMALL($MM$8:$MM$94,ROWS($IL$8:IL36))," ")</f>
        <v xml:space="preserve"> </v>
      </c>
      <c r="MO36" s="102">
        <f>IFERROR(ROWS($IL$8:IL36)," ")</f>
        <v>29</v>
      </c>
      <c r="MP36" s="103" t="str">
        <f>IFERROR(IF([1]Checklist!$C$12='GenInfo (2)'!E36,'GenInfo (2)'!MO36," ")," ")</f>
        <v xml:space="preserve"> </v>
      </c>
      <c r="MQ36" s="104" t="str">
        <f>IFERROR(SMALL($MP$8:$MP$94,ROWS($IL$8:IL36))," ")</f>
        <v xml:space="preserve"> </v>
      </c>
      <c r="MR36" s="102">
        <f>IFERROR(ROWS($IL$8:IL36)," ")</f>
        <v>29</v>
      </c>
      <c r="MS36" s="103">
        <f>IFERROR(IF([1]Checklist!$C$13='GenInfo (2)'!E36,'GenInfo (2)'!MR36," ")," ")</f>
        <v>29</v>
      </c>
      <c r="MT36" s="104" t="str">
        <f>IFERROR(SMALL($MS$8:$MS$94,ROWS($IL$8:IL36))," ")</f>
        <v xml:space="preserve"> </v>
      </c>
      <c r="MU36" s="102">
        <f>IFERROR(ROWS($IL$8:IL36)," ")</f>
        <v>29</v>
      </c>
      <c r="MV36" s="103" t="str">
        <f>IFERROR(IF([1]Checklist!$C$14='GenInfo (2)'!E36,'GenInfo (2)'!MU36," ")," ")</f>
        <v xml:space="preserve"> </v>
      </c>
      <c r="MW36" s="104" t="str">
        <f>IFERROR(SMALL($MV$8:$MV$94,ROWS($IL$8:IL36))," ")</f>
        <v xml:space="preserve"> </v>
      </c>
      <c r="MX36" s="102">
        <f>IFERROR(ROWS($IL$8:IL36)," ")</f>
        <v>29</v>
      </c>
      <c r="MY36" s="103" t="str">
        <f>IFERROR(IF([1]Checklist!$C$15='GenInfo (2)'!E36,'GenInfo (2)'!MX36," ")," ")</f>
        <v xml:space="preserve"> </v>
      </c>
      <c r="MZ36" s="104" t="str">
        <f>IFERROR(SMALL($MY$8:$MY$94,ROWS($IL$8:IL36))," ")</f>
        <v xml:space="preserve"> </v>
      </c>
      <c r="NA36" s="102">
        <f>IFERROR(ROWS($IL$8:IL36)," ")</f>
        <v>29</v>
      </c>
      <c r="NB36" s="103" t="str">
        <f>IFERROR(IF([1]Checklist!$C$16='GenInfo (2)'!E36,'GenInfo (2)'!NA36," ")," ")</f>
        <v xml:space="preserve"> </v>
      </c>
      <c r="NC36" s="104" t="str">
        <f>IFERROR(SMALL($NB$8:$NB$94,ROWS($IL$8:IL36))," ")</f>
        <v xml:space="preserve"> </v>
      </c>
      <c r="ND36" s="102">
        <f>IFERROR(ROWS($IL$8:IL36)," ")</f>
        <v>29</v>
      </c>
      <c r="NE36" s="103" t="str">
        <f>IFERROR(IF([1]Checklist!$C$17='GenInfo (2)'!E36,'GenInfo (2)'!ND36," ")," ")</f>
        <v xml:space="preserve"> </v>
      </c>
      <c r="NF36" s="104" t="str">
        <f>IFERROR(SMALL($NE$8:$NE$94,ROWS($IL$8:IL36))," ")</f>
        <v xml:space="preserve"> </v>
      </c>
    </row>
    <row r="37" spans="1:370" ht="28.5" x14ac:dyDescent="0.45">
      <c r="A37" s="37" t="s">
        <v>213</v>
      </c>
      <c r="B37" s="37">
        <v>196</v>
      </c>
      <c r="C37" s="146" t="s">
        <v>535</v>
      </c>
      <c r="D37" t="s">
        <v>536</v>
      </c>
      <c r="E37" s="106" t="s">
        <v>509</v>
      </c>
      <c r="F37" s="96" t="s">
        <v>537</v>
      </c>
      <c r="G37" s="107" t="s">
        <v>218</v>
      </c>
      <c r="H37" s="96"/>
      <c r="I37" s="132" t="s">
        <v>538</v>
      </c>
      <c r="J37" s="96" t="s">
        <v>539</v>
      </c>
      <c r="K37" s="111"/>
      <c r="L37" s="108" t="s">
        <v>221</v>
      </c>
      <c r="M37" s="108" t="s">
        <v>221</v>
      </c>
      <c r="N37" s="108"/>
      <c r="O37" s="109" t="s">
        <v>221</v>
      </c>
      <c r="P37" s="108"/>
      <c r="Q37" s="108"/>
      <c r="R37" s="96"/>
      <c r="S37" s="108"/>
      <c r="T37" s="96"/>
      <c r="U37" s="111"/>
      <c r="V37" s="108">
        <v>43563</v>
      </c>
      <c r="W37" s="63" t="s">
        <v>222</v>
      </c>
      <c r="X37" s="110"/>
      <c r="Y37" s="108"/>
      <c r="Z37" s="110"/>
      <c r="AA37" s="133"/>
      <c r="AB37" s="96" t="s">
        <v>540</v>
      </c>
      <c r="AC37" s="96" t="s">
        <v>524</v>
      </c>
      <c r="AD37" s="96" t="s">
        <v>541</v>
      </c>
      <c r="AE37" s="96" t="s">
        <v>542</v>
      </c>
      <c r="AF37" s="96" t="s">
        <v>526</v>
      </c>
      <c r="AG37" s="96"/>
      <c r="AH37" s="96" t="s">
        <v>251</v>
      </c>
      <c r="AI37" s="96" t="s">
        <v>230</v>
      </c>
      <c r="AJ37" s="96">
        <v>60655</v>
      </c>
      <c r="AK37" s="111"/>
      <c r="AL37" s="71">
        <f t="shared" ref="AL37:AL94" si="95">IFERROR(DATEDIF(AN37,V37,"y"),"")</f>
        <v>18</v>
      </c>
      <c r="AM37" s="71">
        <f t="shared" ref="AM37" ca="1" si="96">IFERROR(DATEDIF($AN37,TODAY(),"y"),"")</f>
        <v>21</v>
      </c>
      <c r="AN37" s="110">
        <v>36776</v>
      </c>
      <c r="AO37" s="72" t="str">
        <f t="shared" ref="AO37:AO94" ca="1" si="97">IFERROR(DATEDIF(TODAY(),EDATE(AN37,(12*21)),"m"),"")</f>
        <v/>
      </c>
      <c r="AP37" s="110" t="s">
        <v>231</v>
      </c>
      <c r="AQ37" s="73" t="s">
        <v>264</v>
      </c>
      <c r="AR37" s="107" t="s">
        <v>288</v>
      </c>
      <c r="AS37" s="96"/>
      <c r="AT37" s="96"/>
      <c r="AU37" s="96"/>
      <c r="AV37" s="96"/>
      <c r="AW37" s="96"/>
      <c r="AX37" s="96" t="s">
        <v>234</v>
      </c>
      <c r="AY37" s="96" t="s">
        <v>290</v>
      </c>
      <c r="AZ37" s="96" t="s">
        <v>235</v>
      </c>
      <c r="BA37" s="96" t="s">
        <v>235</v>
      </c>
      <c r="BB37" s="96"/>
      <c r="BC37" s="114"/>
      <c r="BD37" s="112"/>
      <c r="BE37" s="71">
        <f t="shared" ref="BE37:BF52" si="98">IFERROR(COUNTIF(CI37,"&gt;0")+COUNTIF(CS37,"&gt;0")+COUNTIF(DC37,"&gt;0")+COUNTIF(DM37,"&gt;0")+COUNTIF(DW37,"&gt;0")+COUNTIF(EG37,"&gt;0")," ")</f>
        <v>6</v>
      </c>
      <c r="BF37" s="71">
        <f t="shared" si="98"/>
        <v>6</v>
      </c>
      <c r="BG37" s="71">
        <f t="shared" ref="BG37:BG94" si="99">IFERROR(COUNTIF(CK37,"&lt;49.5%")+COUNTIF(CU37,"&lt;49.5%")+COUNTIF(DE37,"&lt;49.5%")+COUNTIF(DO37,"&lt;49.5%")+COUNTIF(DY37,"&lt;49.5%")+COUNTIF(EI37,"&lt;49.5%")," ")</f>
        <v>0</v>
      </c>
      <c r="BH37" s="74">
        <f t="shared" ref="BH37:BH94" si="100">IFERROR(AVERAGE(CK37,CU37,DE37,DO37,DY37,EI37)," ")</f>
        <v>0.65898268398268389</v>
      </c>
      <c r="BI37" s="75">
        <f t="shared" ref="BI37:BI94" si="101">IFERROR(BG37/BE37," ")</f>
        <v>0</v>
      </c>
      <c r="BJ37" s="71">
        <f t="shared" ref="BJ37:BJ94" si="102">IFERROR(COUNTIF(CN37,"&gt;0")+COUNTIF(CW37,"&gt;0")+COUNTIF(DH37,"&gt;0")+COUNTIF(DR37,"&gt;0")+COUNTIF(EB37,"&gt;0")+COUNTIF(EL37,"&gt;0")," ")</f>
        <v>4</v>
      </c>
      <c r="BK37" s="75">
        <f t="shared" ref="BK37:BK94" si="103">IFERROR(BJ37/BE37," ")</f>
        <v>0.66666666666666663</v>
      </c>
      <c r="BL37" s="76">
        <f t="shared" ref="BL37:BM52" si="104">IFERROR(SUM(BV37,CD37,CN37,CW37,DH37,DR37,EB37,EL37),"")</f>
        <v>59</v>
      </c>
      <c r="BM37" s="77">
        <f t="shared" si="104"/>
        <v>293.5</v>
      </c>
      <c r="BN37" s="114"/>
      <c r="BO37" s="110"/>
      <c r="BP37" s="110"/>
      <c r="BQ37" s="115">
        <v>14</v>
      </c>
      <c r="BR37" s="115">
        <v>10</v>
      </c>
      <c r="BS37" s="74">
        <f>IFERROR(BR37/BQ37," ")</f>
        <v>0.7142857142857143</v>
      </c>
      <c r="BT37" s="79">
        <v>0</v>
      </c>
      <c r="BU37" s="79">
        <v>0</v>
      </c>
      <c r="BV37" s="80">
        <v>0</v>
      </c>
      <c r="BW37" s="81">
        <v>0</v>
      </c>
      <c r="BX37" s="116"/>
      <c r="BY37" s="117"/>
      <c r="BZ37" s="117"/>
      <c r="CA37" s="128">
        <v>7</v>
      </c>
      <c r="CB37" s="128">
        <v>7</v>
      </c>
      <c r="CC37" s="74">
        <f>IFERROR(CB37/CA37," ")</f>
        <v>1</v>
      </c>
      <c r="CD37" s="79">
        <v>0</v>
      </c>
      <c r="CE37" s="81">
        <v>0</v>
      </c>
      <c r="CF37" s="119"/>
      <c r="CG37" s="119"/>
      <c r="CH37" s="119"/>
      <c r="CI37" s="114">
        <v>20</v>
      </c>
      <c r="CJ37" s="114">
        <v>13</v>
      </c>
      <c r="CK37" s="74">
        <f>IFERROR(CJ37/CI37," ")</f>
        <v>0.65</v>
      </c>
      <c r="CL37" s="79">
        <v>0</v>
      </c>
      <c r="CM37" s="79">
        <v>2</v>
      </c>
      <c r="CN37" s="86">
        <v>2</v>
      </c>
      <c r="CO37" s="81">
        <v>12</v>
      </c>
      <c r="CP37" s="120"/>
      <c r="CQ37" s="121"/>
      <c r="CR37" s="121"/>
      <c r="CS37" s="116">
        <v>22</v>
      </c>
      <c r="CT37" s="116">
        <v>18</v>
      </c>
      <c r="CU37" s="74">
        <f>IFERROR(CT37/CS37," ")</f>
        <v>0.81818181818181823</v>
      </c>
      <c r="CV37" s="79">
        <v>7</v>
      </c>
      <c r="CW37" s="79">
        <v>13.5</v>
      </c>
      <c r="CX37" s="88">
        <v>20.5</v>
      </c>
      <c r="CY37" s="81">
        <v>123</v>
      </c>
      <c r="CZ37" s="122"/>
      <c r="DA37" s="108"/>
      <c r="DB37" s="108"/>
      <c r="DC37" s="114">
        <v>14</v>
      </c>
      <c r="DD37" s="114">
        <v>11</v>
      </c>
      <c r="DE37" s="74">
        <f>IFERROR(DD37/DC37," ")</f>
        <v>0.7857142857142857</v>
      </c>
      <c r="DF37" s="79">
        <v>17</v>
      </c>
      <c r="DG37" s="79">
        <v>8</v>
      </c>
      <c r="DH37" s="79">
        <v>25</v>
      </c>
      <c r="DI37" s="81">
        <v>150</v>
      </c>
      <c r="DJ37" s="120"/>
      <c r="DK37" s="121"/>
      <c r="DL37" s="121"/>
      <c r="DM37" s="116">
        <v>12</v>
      </c>
      <c r="DN37" s="116">
        <v>8</v>
      </c>
      <c r="DO37" s="74">
        <f>IFERROR(DN37/DM37," ")</f>
        <v>0.66666666666666663</v>
      </c>
      <c r="DP37" s="79">
        <v>10</v>
      </c>
      <c r="DQ37" s="79">
        <v>8.5</v>
      </c>
      <c r="DR37" s="79">
        <v>18.5</v>
      </c>
      <c r="DS37" s="81">
        <v>111</v>
      </c>
      <c r="DT37" s="122"/>
      <c r="DU37" s="108"/>
      <c r="DV37" s="108"/>
      <c r="DW37" s="114">
        <v>15</v>
      </c>
      <c r="DX37" s="114">
        <v>8</v>
      </c>
      <c r="DY37" s="74">
        <f>IFERROR(DX37/DW37," ")</f>
        <v>0.53333333333333333</v>
      </c>
      <c r="DZ37" s="90">
        <v>0</v>
      </c>
      <c r="EA37" s="90">
        <v>0</v>
      </c>
      <c r="EB37" s="90">
        <v>0</v>
      </c>
      <c r="EC37" s="91">
        <v>0</v>
      </c>
      <c r="ED37" s="120"/>
      <c r="EE37" s="121"/>
      <c r="EF37" s="121"/>
      <c r="EG37" s="116">
        <v>18</v>
      </c>
      <c r="EH37" s="116">
        <v>9</v>
      </c>
      <c r="EI37" s="74">
        <f t="shared" ref="EI37:EI94" si="105">IFERROR(EH37/EG37," ")</f>
        <v>0.5</v>
      </c>
      <c r="EJ37" s="92">
        <v>0</v>
      </c>
      <c r="EK37" s="92">
        <v>0</v>
      </c>
      <c r="EL37" s="92">
        <v>0</v>
      </c>
      <c r="EM37" s="93">
        <v>0</v>
      </c>
      <c r="EN37" s="122"/>
      <c r="EO37" s="108"/>
      <c r="EP37" s="108"/>
      <c r="EQ37" s="114"/>
      <c r="ER37" s="114"/>
      <c r="ES37" s="74" t="str">
        <f t="shared" ref="ES37:ES94" si="106">IFERROR(ER37/EQ37," ")</f>
        <v xml:space="preserve"> </v>
      </c>
      <c r="ET37" s="94">
        <v>0</v>
      </c>
      <c r="EU37" s="90"/>
      <c r="EV37" s="94">
        <v>0</v>
      </c>
      <c r="EW37" s="95">
        <v>0</v>
      </c>
      <c r="EX37" s="120"/>
      <c r="EY37" s="121"/>
      <c r="EZ37" s="121"/>
      <c r="FA37" s="116"/>
      <c r="FB37" s="116"/>
      <c r="FC37" s="74" t="str">
        <f>IFERROR(FB37/FA37," ")</f>
        <v xml:space="preserve"> </v>
      </c>
      <c r="FD37" s="123"/>
      <c r="FE37" s="123"/>
      <c r="FF37" s="123"/>
      <c r="FG37" s="123"/>
      <c r="FH37" s="76">
        <f>SUM(FD37:FG37)</f>
        <v>0</v>
      </c>
      <c r="FI37" s="122"/>
      <c r="FJ37" s="108"/>
      <c r="FK37" s="108"/>
      <c r="FL37" s="114"/>
      <c r="FM37" s="114"/>
      <c r="FN37" s="74" t="str">
        <f>IFERROR(FM37/FL37," ")</f>
        <v xml:space="preserve"> </v>
      </c>
      <c r="FO37" s="90"/>
      <c r="FP37" s="90"/>
      <c r="FQ37" s="90"/>
      <c r="FR37" s="90"/>
      <c r="FS37" s="76">
        <f>SUM(FO37:FR37)</f>
        <v>0</v>
      </c>
      <c r="FT37" s="120"/>
      <c r="FU37" s="121"/>
      <c r="FV37" s="121"/>
      <c r="FW37" s="116"/>
      <c r="FX37" s="116"/>
      <c r="FY37" s="74" t="str">
        <f>IFERROR(FX37/FW37," ")</f>
        <v xml:space="preserve"> </v>
      </c>
      <c r="FZ37" s="123"/>
      <c r="GA37" s="123"/>
      <c r="GB37" s="123"/>
      <c r="GC37" s="123"/>
      <c r="GD37" s="76">
        <f>SUM(FZ37:GC37)</f>
        <v>0</v>
      </c>
      <c r="GE37" s="153"/>
      <c r="GF37" s="96">
        <v>17.25</v>
      </c>
      <c r="GG37" s="96" t="s">
        <v>236</v>
      </c>
      <c r="GH37" s="79"/>
      <c r="GI37" s="63"/>
      <c r="GJ37" s="63"/>
      <c r="GK37" s="97">
        <f t="shared" si="84"/>
        <v>0</v>
      </c>
      <c r="GL37" s="63">
        <v>0</v>
      </c>
      <c r="GM37" s="79"/>
      <c r="GN37" s="97">
        <f>IFERROR(SUM(GL37:GM37)," ")</f>
        <v>0</v>
      </c>
      <c r="GO37" s="97">
        <f>IFERROR(GF37+GK37+GN37," ")</f>
        <v>17.25</v>
      </c>
      <c r="GP37" s="130"/>
      <c r="GQ37" s="96" t="s">
        <v>213</v>
      </c>
      <c r="GR37" s="96" t="s">
        <v>213</v>
      </c>
      <c r="GS37" s="96" t="s">
        <v>213</v>
      </c>
      <c r="GT37" s="96" t="s">
        <v>213</v>
      </c>
      <c r="GU37" s="96" t="s">
        <v>213</v>
      </c>
      <c r="GV37" s="96" t="s">
        <v>213</v>
      </c>
      <c r="GW37" s="96" t="s">
        <v>213</v>
      </c>
      <c r="GX37" s="96" t="s">
        <v>213</v>
      </c>
      <c r="GY37" s="65" t="str">
        <f>IFERROR(IF(IN37&gt;0,"X",""),"")</f>
        <v>X</v>
      </c>
      <c r="GZ37" s="65" t="str">
        <f>IFERROR(IF(JC37&gt;0,"X",""),"")</f>
        <v>X</v>
      </c>
      <c r="HA37" s="100" t="s">
        <v>213</v>
      </c>
      <c r="HB37" s="100" t="s">
        <v>213</v>
      </c>
      <c r="HC37" s="100">
        <v>0</v>
      </c>
      <c r="HD37" s="100">
        <v>0</v>
      </c>
      <c r="HE37" s="100">
        <v>0</v>
      </c>
      <c r="HF37" s="100">
        <v>0</v>
      </c>
      <c r="HG37" s="100" t="s">
        <v>213</v>
      </c>
      <c r="HH37" s="100">
        <v>1</v>
      </c>
      <c r="HI37" s="100">
        <v>0</v>
      </c>
      <c r="HJ37" s="100">
        <v>0</v>
      </c>
      <c r="HK37" s="100">
        <v>0</v>
      </c>
      <c r="HL37" s="65" t="s">
        <v>237</v>
      </c>
      <c r="HM37" s="65" t="str">
        <f>IFERROR(IF(OR(IT37&gt;0,IU37&gt;0,IV37&gt;0),"x",""),"")</f>
        <v/>
      </c>
      <c r="HN37" s="65" t="s">
        <v>239</v>
      </c>
      <c r="HO37" s="65" t="s">
        <v>237</v>
      </c>
      <c r="HP37" s="65" t="str">
        <f>IFERROR(IF(OR(JI37&gt;0,JJ37&gt;0,JK37&gt;0),"x",""),"")</f>
        <v/>
      </c>
      <c r="HQ37" s="65" t="s">
        <v>239</v>
      </c>
      <c r="HR37" s="96"/>
      <c r="HS37" s="96" t="s">
        <v>213</v>
      </c>
      <c r="HT37" s="96"/>
      <c r="HU37" s="96" t="s">
        <v>237</v>
      </c>
      <c r="HV37" s="96"/>
      <c r="HW37" s="96"/>
      <c r="HX37" s="96" t="s">
        <v>213</v>
      </c>
      <c r="HY37" s="96"/>
      <c r="HZ37" s="96" t="s">
        <v>213</v>
      </c>
      <c r="IA37" s="96" t="s">
        <v>237</v>
      </c>
      <c r="IB37" s="96"/>
      <c r="IC37" s="96" t="s">
        <v>213</v>
      </c>
      <c r="ID37" s="63" t="s">
        <v>240</v>
      </c>
      <c r="IE37" s="100" t="s">
        <v>213</v>
      </c>
      <c r="IF37" s="100" t="s">
        <v>213</v>
      </c>
      <c r="IG37" s="100" t="s">
        <v>213</v>
      </c>
      <c r="IH37" s="100" t="s">
        <v>213</v>
      </c>
      <c r="II37" s="100" t="s">
        <v>213</v>
      </c>
      <c r="IJ37" s="100" t="s">
        <v>213</v>
      </c>
      <c r="IK37" s="100" t="s">
        <v>213</v>
      </c>
      <c r="IL37" s="100"/>
      <c r="IM37" s="111"/>
      <c r="IN37" s="125">
        <v>4.0999999999999996</v>
      </c>
      <c r="IO37" s="125"/>
      <c r="IP37" s="96"/>
      <c r="IQ37" s="96"/>
      <c r="IR37" s="96"/>
      <c r="IS37" s="96"/>
      <c r="IT37" s="96"/>
      <c r="IU37" s="96"/>
      <c r="IV37" s="96"/>
      <c r="IW37" s="96"/>
      <c r="IX37" s="96"/>
      <c r="IY37" s="96"/>
      <c r="IZ37" s="96"/>
      <c r="JA37" s="65">
        <f t="shared" ref="JA37:JA94" si="107">COUNTIF(IO37:IZ37,"&gt;=0.0")</f>
        <v>0</v>
      </c>
      <c r="JB37" s="96"/>
      <c r="JC37" s="125">
        <v>6.9</v>
      </c>
      <c r="JD37" s="125"/>
      <c r="JE37" s="96"/>
      <c r="JF37" s="96"/>
      <c r="JG37" s="96"/>
      <c r="JH37" s="96"/>
      <c r="JI37" s="96"/>
      <c r="JJ37" s="96"/>
      <c r="JK37" s="96"/>
      <c r="JL37" s="96"/>
      <c r="JM37" s="96"/>
      <c r="JN37" s="63"/>
      <c r="JO37" s="63"/>
      <c r="JP37" s="65">
        <f t="shared" si="29"/>
        <v>0</v>
      </c>
      <c r="JQ37" s="63"/>
      <c r="LM37" s="205"/>
      <c r="LN37" s="102">
        <f>IFERROR(ROWS($IL$8:IL37)," ")</f>
        <v>30</v>
      </c>
      <c r="LO37" s="103" t="str">
        <f>IFERROR(IF([1]Checklist!$C$3='GenInfo (2)'!E37,'GenInfo (2)'!LN37," ")," ")</f>
        <v xml:space="preserve"> </v>
      </c>
      <c r="LP37" s="104" t="str">
        <f>IFERROR(SMALL($LO$8:$LO$94,ROWS($IL$8:IL37))," ")</f>
        <v xml:space="preserve"> </v>
      </c>
      <c r="LQ37" s="102">
        <f>IFERROR(ROWS($IL$8:IL37)," ")</f>
        <v>30</v>
      </c>
      <c r="LR37" s="103" t="str">
        <f>IFERROR(IF([1]Checklist!$C$4='GenInfo (2)'!E37,'GenInfo (2)'!LQ37," ")," ")</f>
        <v xml:space="preserve"> </v>
      </c>
      <c r="LS37" s="104" t="str">
        <f>IFERROR(SMALL($LR$8:$LR$94,ROWS($IL$8:IL37))," ")</f>
        <v xml:space="preserve"> </v>
      </c>
      <c r="LT37" s="102">
        <f>IFERROR(ROWS($IL$8:IL37)," ")</f>
        <v>30</v>
      </c>
      <c r="LU37" s="103" t="str">
        <f>IFERROR(IF([1]Checklist!$C$5='GenInfo (2)'!E37,'GenInfo (2)'!LT37," ")," ")</f>
        <v xml:space="preserve"> </v>
      </c>
      <c r="LV37" s="104" t="str">
        <f>IFERROR(SMALL($LU$8:$LU$94,ROWS($IL$8:IL37))," ")</f>
        <v xml:space="preserve"> </v>
      </c>
      <c r="LW37" s="102">
        <f>IFERROR(ROWS($IL$8:IL37)," ")</f>
        <v>30</v>
      </c>
      <c r="LX37" s="103" t="str">
        <f>IFERROR(IF([1]Checklist!$C$6='GenInfo (2)'!E37,'GenInfo (2)'!LW37," ")," ")</f>
        <v xml:space="preserve"> </v>
      </c>
      <c r="LY37" s="104" t="str">
        <f>IFERROR(SMALL($LX$8:$LX$94,ROWS($IL$8:IL37))," ")</f>
        <v xml:space="preserve"> </v>
      </c>
      <c r="LZ37" s="102">
        <f>IFERROR(ROWS($IL$8:IL37)," ")</f>
        <v>30</v>
      </c>
      <c r="MA37" s="103" t="str">
        <f>IFERROR(IF([1]Checklist!$C$7='GenInfo (2)'!E37,'GenInfo (2)'!LZ37," ")," ")</f>
        <v xml:space="preserve"> </v>
      </c>
      <c r="MB37" s="104" t="str">
        <f>IFERROR(SMALL($MA$8:$MA$94,ROWS($IL$8:IL37))," ")</f>
        <v xml:space="preserve"> </v>
      </c>
      <c r="MC37" s="102">
        <f>IFERROR(ROWS($IL$8:IL37)," ")</f>
        <v>30</v>
      </c>
      <c r="MD37" s="103" t="str">
        <f>IFERROR(IF([1]Checklist!$C$8='GenInfo (2)'!E37,'GenInfo (2)'!MC37," ")," ")</f>
        <v xml:space="preserve"> </v>
      </c>
      <c r="ME37" s="104" t="str">
        <f>IFERROR(SMALL($MD$8:$MD$94,ROWS($IL$8:IL37))," ")</f>
        <v xml:space="preserve"> </v>
      </c>
      <c r="MF37" s="102">
        <f>IFERROR(ROWS($IL$8:IL37)," ")</f>
        <v>30</v>
      </c>
      <c r="MG37" s="103" t="str">
        <f>IFERROR(IF([1]Checklist!$C$9='GenInfo (2)'!E37,'GenInfo (2)'!MF37," ")," ")</f>
        <v xml:space="preserve"> </v>
      </c>
      <c r="MH37" s="104" t="str">
        <f>IFERROR(SMALL($MG$8:$MG$94,ROWS($IL$8:IL37))," ")</f>
        <v xml:space="preserve"> </v>
      </c>
      <c r="MI37" s="102">
        <f>IFERROR(ROWS($IL$8:$IL37)," ")</f>
        <v>30</v>
      </c>
      <c r="MJ37" s="103" t="str">
        <f>IFERROR(IF([1]Checklist!$C$10='GenInfo (2)'!E37,'GenInfo (2)'!MI37," ")," ")</f>
        <v xml:space="preserve"> </v>
      </c>
      <c r="MK37" s="104" t="str">
        <f>IFERROR(SMALL($MJ$8:$MJ$94,ROWS($IL$8:IL37))," ")</f>
        <v xml:space="preserve"> </v>
      </c>
      <c r="ML37" s="102">
        <f>IFERROR(ROWS($IL$8:IL37)," ")</f>
        <v>30</v>
      </c>
      <c r="MM37" s="103" t="str">
        <f>IFERROR(IF([1]Checklist!$C$11='GenInfo (2)'!E37,'GenInfo (2)'!ML37," ")," ")</f>
        <v xml:space="preserve"> </v>
      </c>
      <c r="MN37" s="104" t="str">
        <f>IFERROR(SMALL($MM$8:$MM$94,ROWS($IL$8:IL37))," ")</f>
        <v xml:space="preserve"> </v>
      </c>
      <c r="MO37" s="102">
        <f>IFERROR(ROWS($IL$8:IL37)," ")</f>
        <v>30</v>
      </c>
      <c r="MP37" s="103" t="str">
        <f>IFERROR(IF([1]Checklist!$C$12='GenInfo (2)'!E37,'GenInfo (2)'!MO37," ")," ")</f>
        <v xml:space="preserve"> </v>
      </c>
      <c r="MQ37" s="104" t="str">
        <f>IFERROR(SMALL($MP$8:$MP$94,ROWS($IL$8:IL37))," ")</f>
        <v xml:space="preserve"> </v>
      </c>
      <c r="MR37" s="102">
        <f>IFERROR(ROWS($IL$8:IL37)," ")</f>
        <v>30</v>
      </c>
      <c r="MS37" s="103">
        <f>IFERROR(IF([1]Checklist!$C$13='GenInfo (2)'!E37,'GenInfo (2)'!MR37," ")," ")</f>
        <v>30</v>
      </c>
      <c r="MT37" s="104" t="str">
        <f>IFERROR(SMALL($MS$8:$MS$94,ROWS($IL$8:IL37))," ")</f>
        <v xml:space="preserve"> </v>
      </c>
      <c r="MU37" s="102">
        <f>IFERROR(ROWS($IL$8:IL37)," ")</f>
        <v>30</v>
      </c>
      <c r="MV37" s="103" t="str">
        <f>IFERROR(IF([1]Checklist!$C$14='GenInfo (2)'!E37,'GenInfo (2)'!MU37," ")," ")</f>
        <v xml:space="preserve"> </v>
      </c>
      <c r="MW37" s="104" t="str">
        <f>IFERROR(SMALL($MV$8:$MV$94,ROWS($IL$8:IL37))," ")</f>
        <v xml:space="preserve"> </v>
      </c>
      <c r="MX37" s="102">
        <f>IFERROR(ROWS($IL$8:IL37)," ")</f>
        <v>30</v>
      </c>
      <c r="MY37" s="103" t="str">
        <f>IFERROR(IF([1]Checklist!$C$15='GenInfo (2)'!E37,'GenInfo (2)'!MX37," ")," ")</f>
        <v xml:space="preserve"> </v>
      </c>
      <c r="MZ37" s="104" t="str">
        <f>IFERROR(SMALL($MY$8:$MY$94,ROWS($IL$8:IL37))," ")</f>
        <v xml:space="preserve"> </v>
      </c>
      <c r="NA37" s="102">
        <f>IFERROR(ROWS($IL$8:IL37)," ")</f>
        <v>30</v>
      </c>
      <c r="NB37" s="103" t="str">
        <f>IFERROR(IF([1]Checklist!$C$16='GenInfo (2)'!E37,'GenInfo (2)'!NA37," ")," ")</f>
        <v xml:space="preserve"> </v>
      </c>
      <c r="NC37" s="104" t="str">
        <f>IFERROR(SMALL($NB$8:$NB$94,ROWS($IL$8:IL37))," ")</f>
        <v xml:space="preserve"> </v>
      </c>
      <c r="ND37" s="102">
        <f>IFERROR(ROWS($IL$8:IL37)," ")</f>
        <v>30</v>
      </c>
      <c r="NE37" s="103" t="str">
        <f>IFERROR(IF([1]Checklist!$C$17='GenInfo (2)'!E37,'GenInfo (2)'!ND37," ")," ")</f>
        <v xml:space="preserve"> </v>
      </c>
      <c r="NF37" s="104" t="str">
        <f>IFERROR(SMALL($NE$8:$NE$94,ROWS($IL$8:IL37))," ")</f>
        <v xml:space="preserve"> </v>
      </c>
    </row>
    <row r="38" spans="1:370" ht="28.5" x14ac:dyDescent="0.45">
      <c r="A38" s="37" t="s">
        <v>213</v>
      </c>
      <c r="B38" s="37">
        <v>204</v>
      </c>
      <c r="C38" s="146" t="s">
        <v>543</v>
      </c>
      <c r="D38" t="s">
        <v>544</v>
      </c>
      <c r="E38" s="106" t="s">
        <v>545</v>
      </c>
      <c r="F38" s="96" t="s">
        <v>546</v>
      </c>
      <c r="G38" s="107" t="s">
        <v>342</v>
      </c>
      <c r="H38" s="96"/>
      <c r="I38" s="131" t="s">
        <v>547</v>
      </c>
      <c r="J38" s="96" t="s">
        <v>548</v>
      </c>
      <c r="K38" s="111"/>
      <c r="L38" s="108" t="s">
        <v>221</v>
      </c>
      <c r="M38" s="108" t="s">
        <v>221</v>
      </c>
      <c r="N38" s="108"/>
      <c r="O38" s="109" t="s">
        <v>221</v>
      </c>
      <c r="P38" s="108"/>
      <c r="Q38" s="108"/>
      <c r="R38" s="96"/>
      <c r="S38" s="108"/>
      <c r="T38" s="96"/>
      <c r="U38" s="111"/>
      <c r="V38" s="108">
        <v>43546</v>
      </c>
      <c r="W38" s="108">
        <v>43770</v>
      </c>
      <c r="X38" s="110"/>
      <c r="Y38" s="108"/>
      <c r="Z38" s="110"/>
      <c r="AA38" s="155"/>
      <c r="AB38" s="96" t="s">
        <v>549</v>
      </c>
      <c r="AC38" s="96" t="s">
        <v>550</v>
      </c>
      <c r="AD38" s="96" t="s">
        <v>551</v>
      </c>
      <c r="AE38" s="96" t="s">
        <v>516</v>
      </c>
      <c r="AF38" s="96" t="s">
        <v>552</v>
      </c>
      <c r="AG38" s="96"/>
      <c r="AH38" s="96" t="s">
        <v>251</v>
      </c>
      <c r="AI38" s="96" t="s">
        <v>230</v>
      </c>
      <c r="AJ38" s="96">
        <v>60641</v>
      </c>
      <c r="AK38" s="111"/>
      <c r="AL38" s="71">
        <f t="shared" si="95"/>
        <v>16</v>
      </c>
      <c r="AM38" s="71">
        <f ca="1">IFERROR(DATEDIF($AN38,TODAY(),"y"),"")</f>
        <v>19</v>
      </c>
      <c r="AN38" s="108">
        <v>37540</v>
      </c>
      <c r="AO38" s="72">
        <f t="shared" ca="1" si="97"/>
        <v>20</v>
      </c>
      <c r="AP38" s="96" t="s">
        <v>231</v>
      </c>
      <c r="AQ38" s="73" t="s">
        <v>264</v>
      </c>
      <c r="AR38" s="107" t="s">
        <v>276</v>
      </c>
      <c r="AS38" s="96">
        <v>2</v>
      </c>
      <c r="AT38" s="96">
        <v>365</v>
      </c>
      <c r="AU38" s="96">
        <v>15</v>
      </c>
      <c r="AV38" s="96">
        <v>2</v>
      </c>
      <c r="AW38" s="96">
        <v>0</v>
      </c>
      <c r="AX38" s="96" t="s">
        <v>234</v>
      </c>
      <c r="AY38" s="96" t="s">
        <v>235</v>
      </c>
      <c r="AZ38" s="96" t="s">
        <v>235</v>
      </c>
      <c r="BA38" s="96" t="s">
        <v>235</v>
      </c>
      <c r="BB38" s="96"/>
      <c r="BC38" s="115"/>
      <c r="BD38" s="129"/>
      <c r="BE38" s="71">
        <f t="shared" si="98"/>
        <v>1</v>
      </c>
      <c r="BF38" s="71">
        <f t="shared" si="98"/>
        <v>0</v>
      </c>
      <c r="BG38" s="71">
        <f t="shared" si="99"/>
        <v>1</v>
      </c>
      <c r="BH38" s="74">
        <f t="shared" si="100"/>
        <v>0</v>
      </c>
      <c r="BI38" s="75">
        <f t="shared" si="101"/>
        <v>1</v>
      </c>
      <c r="BJ38" s="71">
        <f t="shared" si="102"/>
        <v>0</v>
      </c>
      <c r="BK38" s="75">
        <f t="shared" si="103"/>
        <v>0</v>
      </c>
      <c r="BL38" s="76">
        <f t="shared" si="104"/>
        <v>0</v>
      </c>
      <c r="BM38" s="77">
        <f t="shared" si="104"/>
        <v>0</v>
      </c>
      <c r="BN38" s="114"/>
      <c r="BO38" s="108"/>
      <c r="BP38" s="108"/>
      <c r="BQ38" s="115"/>
      <c r="BR38" s="115"/>
      <c r="BS38" s="74" t="str">
        <f t="shared" ref="BS38:BS94" si="108">IFERROR(BR38/BQ38," ")</f>
        <v xml:space="preserve"> </v>
      </c>
      <c r="BT38" s="79">
        <v>0</v>
      </c>
      <c r="BU38" s="79">
        <v>0</v>
      </c>
      <c r="BV38" s="80">
        <v>0</v>
      </c>
      <c r="BW38" s="81">
        <v>0</v>
      </c>
      <c r="BX38" s="116"/>
      <c r="BY38" s="121"/>
      <c r="BZ38" s="121"/>
      <c r="CA38" s="128"/>
      <c r="CB38" s="128"/>
      <c r="CC38" s="74" t="str">
        <f t="shared" ref="CC38:CC94" si="109">IFERROR(CB38/CA38," ")</f>
        <v xml:space="preserve"> </v>
      </c>
      <c r="CD38" s="79">
        <v>0</v>
      </c>
      <c r="CE38" s="81">
        <v>0</v>
      </c>
      <c r="CF38" s="119"/>
      <c r="CG38" s="119"/>
      <c r="CH38" s="119"/>
      <c r="CI38" s="114">
        <v>21</v>
      </c>
      <c r="CJ38" s="114">
        <v>0</v>
      </c>
      <c r="CK38" s="74">
        <f t="shared" ref="CK38:CK94" si="110">IFERROR(CJ38/CI38," ")</f>
        <v>0</v>
      </c>
      <c r="CL38" s="79">
        <v>0</v>
      </c>
      <c r="CM38" s="79">
        <v>0</v>
      </c>
      <c r="CN38" s="86">
        <v>0</v>
      </c>
      <c r="CO38" s="81">
        <v>0</v>
      </c>
      <c r="CP38" s="120"/>
      <c r="CQ38" s="121"/>
      <c r="CR38" s="121"/>
      <c r="CS38" s="116"/>
      <c r="CT38" s="116"/>
      <c r="CU38" s="74" t="str">
        <f t="shared" ref="CU38:CU94" si="111">IFERROR(CT38/CS38," ")</f>
        <v xml:space="preserve"> </v>
      </c>
      <c r="CV38" s="79">
        <v>0</v>
      </c>
      <c r="CW38" s="79">
        <v>0</v>
      </c>
      <c r="CX38" s="88">
        <v>0</v>
      </c>
      <c r="CY38" s="81">
        <v>0</v>
      </c>
      <c r="CZ38" s="122"/>
      <c r="DA38" s="108"/>
      <c r="DB38" s="108"/>
      <c r="DC38" s="114"/>
      <c r="DD38" s="114"/>
      <c r="DE38" s="74" t="str">
        <f t="shared" ref="DE38:DE94" si="112">IFERROR(DD38/DC38," ")</f>
        <v xml:space="preserve"> </v>
      </c>
      <c r="DF38" s="79">
        <v>0</v>
      </c>
      <c r="DG38" s="79">
        <v>0</v>
      </c>
      <c r="DH38" s="79">
        <v>0</v>
      </c>
      <c r="DI38" s="81">
        <v>0</v>
      </c>
      <c r="DJ38" s="120"/>
      <c r="DK38" s="121"/>
      <c r="DL38" s="121"/>
      <c r="DM38" s="116"/>
      <c r="DN38" s="116"/>
      <c r="DO38" s="74" t="str">
        <f t="shared" ref="DO38:DO94" si="113">IFERROR(DN38/DM38," ")</f>
        <v xml:space="preserve"> </v>
      </c>
      <c r="DP38" s="79">
        <v>0</v>
      </c>
      <c r="DQ38" s="79">
        <v>0</v>
      </c>
      <c r="DR38" s="79">
        <v>0</v>
      </c>
      <c r="DS38" s="81">
        <v>0</v>
      </c>
      <c r="DT38" s="122"/>
      <c r="DU38" s="108"/>
      <c r="DV38" s="108"/>
      <c r="DW38" s="114"/>
      <c r="DX38" s="114"/>
      <c r="DY38" s="74" t="str">
        <f t="shared" ref="DY38:DY94" si="114">IFERROR(DX38/DW38," ")</f>
        <v xml:space="preserve"> </v>
      </c>
      <c r="DZ38" s="90">
        <v>0</v>
      </c>
      <c r="EA38" s="90">
        <v>0</v>
      </c>
      <c r="EB38" s="90">
        <v>0</v>
      </c>
      <c r="EC38" s="91">
        <v>0</v>
      </c>
      <c r="ED38" s="120"/>
      <c r="EE38" s="121"/>
      <c r="EF38" s="121"/>
      <c r="EG38" s="116"/>
      <c r="EH38" s="116"/>
      <c r="EI38" s="74" t="str">
        <f t="shared" si="105"/>
        <v xml:space="preserve"> </v>
      </c>
      <c r="EJ38" s="92">
        <v>0</v>
      </c>
      <c r="EK38" s="92">
        <v>0</v>
      </c>
      <c r="EL38" s="92">
        <v>0</v>
      </c>
      <c r="EM38" s="93">
        <v>0</v>
      </c>
      <c r="EN38" s="122"/>
      <c r="EO38" s="108"/>
      <c r="EP38" s="108"/>
      <c r="EQ38" s="114"/>
      <c r="ER38" s="114"/>
      <c r="ES38" s="74" t="str">
        <f t="shared" si="106"/>
        <v xml:space="preserve"> </v>
      </c>
      <c r="ET38" s="94">
        <v>0</v>
      </c>
      <c r="EU38" s="90"/>
      <c r="EV38" s="94">
        <v>0</v>
      </c>
      <c r="EW38" s="95">
        <v>0</v>
      </c>
      <c r="EX38" s="120"/>
      <c r="EY38" s="121"/>
      <c r="EZ38" s="121"/>
      <c r="FA38" s="116"/>
      <c r="FB38" s="116"/>
      <c r="FC38" s="74" t="str">
        <f t="shared" ref="FC38:FC94" si="115">IFERROR(FB38/FA38," ")</f>
        <v xml:space="preserve"> </v>
      </c>
      <c r="FD38" s="123"/>
      <c r="FE38" s="123"/>
      <c r="FF38" s="123"/>
      <c r="FG38" s="123"/>
      <c r="FH38" s="76">
        <f t="shared" ref="FH38:FH94" si="116">SUM(FD38:FG38)</f>
        <v>0</v>
      </c>
      <c r="FI38" s="122"/>
      <c r="FJ38" s="108"/>
      <c r="FK38" s="108"/>
      <c r="FL38" s="114"/>
      <c r="FM38" s="114"/>
      <c r="FN38" s="74" t="str">
        <f t="shared" ref="FN38:FN94" si="117">IFERROR(FM38/FL38," ")</f>
        <v xml:space="preserve"> </v>
      </c>
      <c r="FO38" s="90"/>
      <c r="FP38" s="90"/>
      <c r="FQ38" s="90"/>
      <c r="FR38" s="90"/>
      <c r="FS38" s="76">
        <f t="shared" ref="FS38:FS94" si="118">SUM(FO38:FR38)</f>
        <v>0</v>
      </c>
      <c r="FT38" s="120"/>
      <c r="FU38" s="121"/>
      <c r="FV38" s="121"/>
      <c r="FW38" s="116"/>
      <c r="FX38" s="116"/>
      <c r="FY38" s="74" t="str">
        <f t="shared" ref="FY38:FY94" si="119">IFERROR(FX38/FW38," ")</f>
        <v xml:space="preserve"> </v>
      </c>
      <c r="FZ38" s="123"/>
      <c r="GA38" s="123"/>
      <c r="GB38" s="123"/>
      <c r="GC38" s="123"/>
      <c r="GD38" s="76">
        <f t="shared" ref="GD38:GD94" si="120">SUM(FZ38:GC38)</f>
        <v>0</v>
      </c>
      <c r="GE38" s="129"/>
      <c r="GF38" s="96">
        <v>0</v>
      </c>
      <c r="GG38" s="96" t="s">
        <v>335</v>
      </c>
      <c r="GH38" s="79"/>
      <c r="GI38" s="63" t="s">
        <v>221</v>
      </c>
      <c r="GJ38" s="63" t="s">
        <v>221</v>
      </c>
      <c r="GK38" s="97">
        <f t="shared" si="84"/>
        <v>0</v>
      </c>
      <c r="GL38" s="63" t="s">
        <v>221</v>
      </c>
      <c r="GM38" s="79"/>
      <c r="GN38" s="97">
        <f t="shared" ref="GN38:GN94" si="121">IFERROR(SUM(GL38:GM38)," ")</f>
        <v>0</v>
      </c>
      <c r="GO38" s="97">
        <f t="shared" ref="GO38:GO94" si="122">IFERROR(GF38+GK38+GN38," ")</f>
        <v>0</v>
      </c>
      <c r="GP38" s="130"/>
      <c r="GQ38" s="96" t="s">
        <v>213</v>
      </c>
      <c r="GR38" s="96" t="s">
        <v>213</v>
      </c>
      <c r="GS38" s="96" t="s">
        <v>213</v>
      </c>
      <c r="GT38" s="96" t="s">
        <v>213</v>
      </c>
      <c r="GU38" s="96" t="s">
        <v>213</v>
      </c>
      <c r="GV38" s="96" t="s">
        <v>213</v>
      </c>
      <c r="GW38" s="96" t="s">
        <v>213</v>
      </c>
      <c r="GX38" s="96" t="s">
        <v>238</v>
      </c>
      <c r="GY38" s="65" t="str">
        <f>IFERROR(IF(IN38&gt;0,"X",""),"")</f>
        <v>X</v>
      </c>
      <c r="GZ38" s="65" t="str">
        <f>IFERROR(IF(JC38&gt;0,"X",""),"")</f>
        <v>X</v>
      </c>
      <c r="HA38" s="100" t="s">
        <v>213</v>
      </c>
      <c r="HB38" s="100" t="s">
        <v>213</v>
      </c>
      <c r="HC38" s="100">
        <v>0</v>
      </c>
      <c r="HD38" s="100">
        <v>0</v>
      </c>
      <c r="HE38" s="100">
        <v>0</v>
      </c>
      <c r="HF38" s="100">
        <v>0</v>
      </c>
      <c r="HG38" s="100" t="s">
        <v>213</v>
      </c>
      <c r="HH38" s="100"/>
      <c r="HI38" s="100">
        <v>0</v>
      </c>
      <c r="HJ38" s="100">
        <v>0</v>
      </c>
      <c r="HK38" s="100">
        <v>0</v>
      </c>
      <c r="HL38" s="65" t="s">
        <v>239</v>
      </c>
      <c r="HM38" s="65" t="str">
        <f>IFERROR(IF(OR(IT38&gt;0,IU38&gt;0,IV38&gt;0),"x",""),"")</f>
        <v/>
      </c>
      <c r="HN38" s="65" t="str">
        <f>IFERROR(IF(OR(IW38&gt;0,IX38&gt;0,IY38&gt;0,IZ38&gt;0),"x",""),"")</f>
        <v/>
      </c>
      <c r="HO38" s="65" t="s">
        <v>239</v>
      </c>
      <c r="HP38" s="65" t="s">
        <v>239</v>
      </c>
      <c r="HQ38" s="65" t="s">
        <v>239</v>
      </c>
      <c r="HR38" s="96"/>
      <c r="HS38" s="96"/>
      <c r="HT38" s="96"/>
      <c r="HU38" s="96"/>
      <c r="HV38" s="96"/>
      <c r="HW38" s="96"/>
      <c r="HX38" s="96"/>
      <c r="HY38" s="96"/>
      <c r="HZ38" s="96" t="s">
        <v>237</v>
      </c>
      <c r="IA38" s="96"/>
      <c r="IB38" s="96"/>
      <c r="IC38" s="96" t="s">
        <v>213</v>
      </c>
      <c r="ID38" s="96" t="s">
        <v>240</v>
      </c>
      <c r="IE38" s="100">
        <v>0</v>
      </c>
      <c r="IF38" s="100">
        <v>0</v>
      </c>
      <c r="IG38" s="100">
        <v>0</v>
      </c>
      <c r="IH38" s="100">
        <v>0</v>
      </c>
      <c r="II38" s="100">
        <v>0</v>
      </c>
      <c r="IJ38" s="100">
        <v>0</v>
      </c>
      <c r="IK38" s="100">
        <v>0</v>
      </c>
      <c r="IL38" s="100">
        <v>0</v>
      </c>
      <c r="IM38" s="111"/>
      <c r="IN38" s="125">
        <v>9.3000000000000007</v>
      </c>
      <c r="IO38" s="125"/>
      <c r="IP38" s="96"/>
      <c r="IQ38" s="96"/>
      <c r="IR38" s="96"/>
      <c r="IS38" s="96"/>
      <c r="IT38" s="96"/>
      <c r="IU38" s="96"/>
      <c r="IV38" s="96"/>
      <c r="IW38" s="96"/>
      <c r="IX38" s="96"/>
      <c r="IY38" s="96"/>
      <c r="IZ38" s="96"/>
      <c r="JA38" s="65">
        <f t="shared" si="107"/>
        <v>0</v>
      </c>
      <c r="JB38" s="96"/>
      <c r="JC38" s="125">
        <v>7.7</v>
      </c>
      <c r="JD38" s="125"/>
      <c r="JE38" s="96"/>
      <c r="JF38" s="96"/>
      <c r="JG38" s="96"/>
      <c r="JH38" s="96"/>
      <c r="JI38" s="96"/>
      <c r="JJ38" s="96"/>
      <c r="JK38" s="96"/>
      <c r="JL38" s="96"/>
      <c r="JM38" s="96"/>
      <c r="JN38" s="63"/>
      <c r="JO38" s="63"/>
      <c r="JP38" s="65">
        <f t="shared" si="29"/>
        <v>0</v>
      </c>
      <c r="JQ38" s="96"/>
      <c r="LM38" s="205"/>
      <c r="LN38" s="102">
        <f>IFERROR(ROWS($IL$8:IL38)," ")</f>
        <v>31</v>
      </c>
      <c r="LO38" s="103" t="str">
        <f>IFERROR(IF([1]Checklist!$C$3='GenInfo (2)'!E38,'GenInfo (2)'!LN38," ")," ")</f>
        <v xml:space="preserve"> </v>
      </c>
      <c r="LP38" s="104" t="str">
        <f>IFERROR(SMALL($LO$8:$LO$94,ROWS($IL$8:IL38))," ")</f>
        <v xml:space="preserve"> </v>
      </c>
      <c r="LQ38" s="102">
        <f>IFERROR(ROWS($IL$8:IL38)," ")</f>
        <v>31</v>
      </c>
      <c r="LR38" s="103" t="str">
        <f>IFERROR(IF([1]Checklist!$C$4='GenInfo (2)'!E38,'GenInfo (2)'!LQ38," ")," ")</f>
        <v xml:space="preserve"> </v>
      </c>
      <c r="LS38" s="104" t="str">
        <f>IFERROR(SMALL($LR$8:$LR$94,ROWS($IL$8:IL38))," ")</f>
        <v xml:space="preserve"> </v>
      </c>
      <c r="LT38" s="102">
        <f>IFERROR(ROWS($IL$8:IL38)," ")</f>
        <v>31</v>
      </c>
      <c r="LU38" s="103" t="str">
        <f>IFERROR(IF([1]Checklist!$C$5='GenInfo (2)'!E38,'GenInfo (2)'!LT38," ")," ")</f>
        <v xml:space="preserve"> </v>
      </c>
      <c r="LV38" s="104" t="str">
        <f>IFERROR(SMALL($LU$8:$LU$94,ROWS($IL$8:IL38))," ")</f>
        <v xml:space="preserve"> </v>
      </c>
      <c r="LW38" s="102">
        <f>IFERROR(ROWS($IL$8:IL38)," ")</f>
        <v>31</v>
      </c>
      <c r="LX38" s="103" t="str">
        <f>IFERROR(IF([1]Checklist!$C$6='GenInfo (2)'!E38,'GenInfo (2)'!LW38," ")," ")</f>
        <v xml:space="preserve"> </v>
      </c>
      <c r="LY38" s="104" t="str">
        <f>IFERROR(SMALL($LX$8:$LX$94,ROWS($IL$8:IL38))," ")</f>
        <v xml:space="preserve"> </v>
      </c>
      <c r="LZ38" s="102">
        <f>IFERROR(ROWS($IL$8:IL38)," ")</f>
        <v>31</v>
      </c>
      <c r="MA38" s="103" t="str">
        <f>IFERROR(IF([1]Checklist!$C$7='GenInfo (2)'!E38,'GenInfo (2)'!LZ38," ")," ")</f>
        <v xml:space="preserve"> </v>
      </c>
      <c r="MB38" s="104" t="str">
        <f>IFERROR(SMALL($MA$8:$MA$94,ROWS($IL$8:IL38))," ")</f>
        <v xml:space="preserve"> </v>
      </c>
      <c r="MC38" s="102">
        <f>IFERROR(ROWS($IL$8:IL38)," ")</f>
        <v>31</v>
      </c>
      <c r="MD38" s="103" t="str">
        <f>IFERROR(IF([1]Checklist!$C$8='GenInfo (2)'!E38,'GenInfo (2)'!MC38," ")," ")</f>
        <v xml:space="preserve"> </v>
      </c>
      <c r="ME38" s="104" t="str">
        <f>IFERROR(SMALL($MD$8:$MD$94,ROWS($IL$8:IL38))," ")</f>
        <v xml:space="preserve"> </v>
      </c>
      <c r="MF38" s="102">
        <f>IFERROR(ROWS($IL$8:IL38)," ")</f>
        <v>31</v>
      </c>
      <c r="MG38" s="103" t="str">
        <f>IFERROR(IF([1]Checklist!$C$9='GenInfo (2)'!E38,'GenInfo (2)'!MF38," ")," ")</f>
        <v xml:space="preserve"> </v>
      </c>
      <c r="MH38" s="104" t="str">
        <f>IFERROR(SMALL($MG$8:$MG$94,ROWS($IL$8:IL38))," ")</f>
        <v xml:space="preserve"> </v>
      </c>
      <c r="MI38" s="102">
        <f>IFERROR(ROWS($IL$8:$IL38)," ")</f>
        <v>31</v>
      </c>
      <c r="MJ38" s="103" t="str">
        <f>IFERROR(IF([1]Checklist!$C$10='GenInfo (2)'!E38,'GenInfo (2)'!MI38," ")," ")</f>
        <v xml:space="preserve"> </v>
      </c>
      <c r="MK38" s="104" t="str">
        <f>IFERROR(SMALL($MJ$8:$MJ$94,ROWS($IL$8:IL38))," ")</f>
        <v xml:space="preserve"> </v>
      </c>
      <c r="ML38" s="102">
        <f>IFERROR(ROWS($IL$8:IL38)," ")</f>
        <v>31</v>
      </c>
      <c r="MM38" s="103" t="str">
        <f>IFERROR(IF([1]Checklist!$C$11='GenInfo (2)'!E38,'GenInfo (2)'!ML38," ")," ")</f>
        <v xml:space="preserve"> </v>
      </c>
      <c r="MN38" s="104" t="str">
        <f>IFERROR(SMALL($MM$8:$MM$94,ROWS($IL$8:IL38))," ")</f>
        <v xml:space="preserve"> </v>
      </c>
      <c r="MO38" s="102">
        <f>IFERROR(ROWS($IL$8:IL38)," ")</f>
        <v>31</v>
      </c>
      <c r="MP38" s="103" t="str">
        <f>IFERROR(IF([1]Checklist!$C$12='GenInfo (2)'!E38,'GenInfo (2)'!MO38," ")," ")</f>
        <v xml:space="preserve"> </v>
      </c>
      <c r="MQ38" s="104" t="str">
        <f>IFERROR(SMALL($MP$8:$MP$94,ROWS($IL$8:IL38))," ")</f>
        <v xml:space="preserve"> </v>
      </c>
      <c r="MR38" s="102">
        <f>IFERROR(ROWS($IL$8:IL38)," ")</f>
        <v>31</v>
      </c>
      <c r="MS38" s="103" t="str">
        <f>IFERROR(IF([1]Checklist!$C$13='GenInfo (2)'!E38,'GenInfo (2)'!MR38," ")," ")</f>
        <v xml:space="preserve"> </v>
      </c>
      <c r="MT38" s="104" t="str">
        <f>IFERROR(SMALL($MS$8:$MS$94,ROWS($IL$8:IL38))," ")</f>
        <v xml:space="preserve"> </v>
      </c>
      <c r="MU38" s="102">
        <f>IFERROR(ROWS($IL$8:IL38)," ")</f>
        <v>31</v>
      </c>
      <c r="MV38" s="103">
        <f>IFERROR(IF([1]Checklist!$C$14='GenInfo (2)'!E38,'GenInfo (2)'!MU38," ")," ")</f>
        <v>31</v>
      </c>
      <c r="MW38" s="104" t="str">
        <f>IFERROR(SMALL($MV$8:$MV$94,ROWS($IL$8:IL38))," ")</f>
        <v xml:space="preserve"> </v>
      </c>
      <c r="MX38" s="102">
        <f>IFERROR(ROWS($IL$8:IL38)," ")</f>
        <v>31</v>
      </c>
      <c r="MY38" s="103" t="str">
        <f>IFERROR(IF([1]Checklist!$C$15='GenInfo (2)'!E38,'GenInfo (2)'!MX38," ")," ")</f>
        <v xml:space="preserve"> </v>
      </c>
      <c r="MZ38" s="104" t="str">
        <f>IFERROR(SMALL($MY$8:$MY$94,ROWS($IL$8:IL38))," ")</f>
        <v xml:space="preserve"> </v>
      </c>
      <c r="NA38" s="102">
        <f>IFERROR(ROWS($IL$8:IL38)," ")</f>
        <v>31</v>
      </c>
      <c r="NB38" s="103" t="str">
        <f>IFERROR(IF([1]Checklist!$C$16='GenInfo (2)'!E38,'GenInfo (2)'!NA38," ")," ")</f>
        <v xml:space="preserve"> </v>
      </c>
      <c r="NC38" s="104" t="str">
        <f>IFERROR(SMALL($NB$8:$NB$94,ROWS($IL$8:IL38))," ")</f>
        <v xml:space="preserve"> </v>
      </c>
      <c r="ND38" s="102">
        <f>IFERROR(ROWS($IL$8:IL38)," ")</f>
        <v>31</v>
      </c>
      <c r="NE38" s="103" t="str">
        <f>IFERROR(IF([1]Checklist!$C$17='GenInfo (2)'!E38,'GenInfo (2)'!ND38," ")," ")</f>
        <v xml:space="preserve"> </v>
      </c>
      <c r="NF38" s="104" t="str">
        <f>IFERROR(SMALL($NE$8:$NE$94,ROWS($IL$8:IL38))," ")</f>
        <v xml:space="preserve"> </v>
      </c>
    </row>
    <row r="39" spans="1:370" ht="28.5" x14ac:dyDescent="0.45">
      <c r="A39" s="37" t="s">
        <v>213</v>
      </c>
      <c r="B39" s="37">
        <v>212</v>
      </c>
      <c r="C39" s="146" t="s">
        <v>553</v>
      </c>
      <c r="D39" t="s">
        <v>554</v>
      </c>
      <c r="E39" s="106" t="s">
        <v>545</v>
      </c>
      <c r="F39" s="96" t="s">
        <v>555</v>
      </c>
      <c r="G39" s="107" t="s">
        <v>294</v>
      </c>
      <c r="H39" s="96"/>
      <c r="I39" s="131" t="s">
        <v>556</v>
      </c>
      <c r="J39" s="96" t="s">
        <v>557</v>
      </c>
      <c r="K39" s="111"/>
      <c r="L39" s="108">
        <v>43607</v>
      </c>
      <c r="M39" s="108">
        <v>43608</v>
      </c>
      <c r="N39" s="108" t="s">
        <v>459</v>
      </c>
      <c r="O39" s="109">
        <v>43586</v>
      </c>
      <c r="P39" s="108"/>
      <c r="Q39" s="108"/>
      <c r="R39" s="96" t="s">
        <v>297</v>
      </c>
      <c r="S39" s="108"/>
      <c r="T39" s="96"/>
      <c r="U39" s="111"/>
      <c r="V39" s="108">
        <v>43654</v>
      </c>
      <c r="W39" s="108">
        <v>43739</v>
      </c>
      <c r="X39" s="110" t="s">
        <v>375</v>
      </c>
      <c r="Y39" s="108">
        <v>43739</v>
      </c>
      <c r="Z39" s="110" t="s">
        <v>375</v>
      </c>
      <c r="AA39" s="111"/>
      <c r="AB39" s="96" t="s">
        <v>558</v>
      </c>
      <c r="AC39" s="96" t="s">
        <v>559</v>
      </c>
      <c r="AD39" s="96" t="s">
        <v>560</v>
      </c>
      <c r="AE39" s="96" t="s">
        <v>418</v>
      </c>
      <c r="AF39" s="96" t="s">
        <v>250</v>
      </c>
      <c r="AG39" s="96" t="s">
        <v>561</v>
      </c>
      <c r="AH39" s="96" t="s">
        <v>251</v>
      </c>
      <c r="AI39" s="96" t="s">
        <v>230</v>
      </c>
      <c r="AJ39" s="96">
        <v>60652</v>
      </c>
      <c r="AK39" s="111"/>
      <c r="AL39" s="71">
        <f t="shared" si="95"/>
        <v>16</v>
      </c>
      <c r="AM39" s="71">
        <f t="shared" ref="AM39" ca="1" si="123">IFERROR(DATEDIF($AN39,TODAY(),"y"),"")</f>
        <v>19</v>
      </c>
      <c r="AN39" s="110">
        <v>37631</v>
      </c>
      <c r="AO39" s="72">
        <f t="shared" ca="1" si="97"/>
        <v>23</v>
      </c>
      <c r="AP39" s="145" t="s">
        <v>313</v>
      </c>
      <c r="AQ39" s="73" t="s">
        <v>264</v>
      </c>
      <c r="AR39" s="107" t="s">
        <v>233</v>
      </c>
      <c r="AS39" s="96">
        <v>1</v>
      </c>
      <c r="AT39" s="96">
        <v>3.5</v>
      </c>
      <c r="AU39" s="96"/>
      <c r="AV39" s="96"/>
      <c r="AW39" s="96"/>
      <c r="AX39" s="96" t="s">
        <v>335</v>
      </c>
      <c r="AY39" s="96" t="s">
        <v>290</v>
      </c>
      <c r="AZ39" s="96" t="s">
        <v>235</v>
      </c>
      <c r="BA39" s="96" t="s">
        <v>235</v>
      </c>
      <c r="BB39" s="96"/>
      <c r="BC39" s="114"/>
      <c r="BD39" s="112"/>
      <c r="BE39" s="71">
        <f t="shared" si="98"/>
        <v>1</v>
      </c>
      <c r="BF39" s="71">
        <f t="shared" si="98"/>
        <v>0</v>
      </c>
      <c r="BG39" s="71">
        <f t="shared" si="99"/>
        <v>1</v>
      </c>
      <c r="BH39" s="74">
        <f t="shared" si="100"/>
        <v>0</v>
      </c>
      <c r="BI39" s="75">
        <f t="shared" si="101"/>
        <v>1</v>
      </c>
      <c r="BJ39" s="71">
        <f t="shared" si="102"/>
        <v>0</v>
      </c>
      <c r="BK39" s="75">
        <f t="shared" si="103"/>
        <v>0</v>
      </c>
      <c r="BL39" s="76">
        <f t="shared" si="104"/>
        <v>0</v>
      </c>
      <c r="BM39" s="77">
        <f t="shared" si="104"/>
        <v>0</v>
      </c>
      <c r="BN39" s="114"/>
      <c r="BO39" s="110"/>
      <c r="BP39" s="110"/>
      <c r="BQ39" s="115"/>
      <c r="BR39" s="115"/>
      <c r="BS39" s="74" t="str">
        <f t="shared" si="108"/>
        <v xml:space="preserve"> </v>
      </c>
      <c r="BT39" s="79">
        <v>0</v>
      </c>
      <c r="BU39" s="79">
        <v>0</v>
      </c>
      <c r="BV39" s="80">
        <v>0</v>
      </c>
      <c r="BW39" s="81">
        <v>0</v>
      </c>
      <c r="BX39" s="116"/>
      <c r="BY39" s="117"/>
      <c r="BZ39" s="117"/>
      <c r="CA39" s="118"/>
      <c r="CB39" s="118"/>
      <c r="CC39" s="74" t="str">
        <f t="shared" si="109"/>
        <v xml:space="preserve"> </v>
      </c>
      <c r="CD39" s="79">
        <v>0</v>
      </c>
      <c r="CE39" s="81">
        <v>0</v>
      </c>
      <c r="CF39" s="119"/>
      <c r="CG39" s="156"/>
      <c r="CH39" s="119"/>
      <c r="CI39" s="90">
        <v>21</v>
      </c>
      <c r="CJ39" s="114">
        <v>0</v>
      </c>
      <c r="CK39" s="74">
        <f t="shared" si="110"/>
        <v>0</v>
      </c>
      <c r="CL39" s="79">
        <v>0</v>
      </c>
      <c r="CM39" s="79">
        <v>0</v>
      </c>
      <c r="CN39" s="86">
        <v>0</v>
      </c>
      <c r="CO39" s="81">
        <v>0</v>
      </c>
      <c r="CP39" s="120"/>
      <c r="CQ39" s="121"/>
      <c r="CR39" s="121"/>
      <c r="CS39" s="116"/>
      <c r="CT39" s="116"/>
      <c r="CU39" s="74" t="str">
        <f t="shared" si="111"/>
        <v xml:space="preserve"> </v>
      </c>
      <c r="CV39" s="79">
        <v>0</v>
      </c>
      <c r="CW39" s="79">
        <v>0</v>
      </c>
      <c r="CX39" s="88">
        <v>0</v>
      </c>
      <c r="CY39" s="81">
        <v>0</v>
      </c>
      <c r="CZ39" s="122"/>
      <c r="DA39" s="108"/>
      <c r="DB39" s="108"/>
      <c r="DC39" s="114"/>
      <c r="DD39" s="114"/>
      <c r="DE39" s="74" t="str">
        <f t="shared" si="112"/>
        <v xml:space="preserve"> </v>
      </c>
      <c r="DF39" s="79">
        <v>0</v>
      </c>
      <c r="DG39" s="79">
        <v>0</v>
      </c>
      <c r="DH39" s="79">
        <v>0</v>
      </c>
      <c r="DI39" s="81">
        <v>0</v>
      </c>
      <c r="DJ39" s="120"/>
      <c r="DK39" s="121"/>
      <c r="DL39" s="121"/>
      <c r="DM39" s="116"/>
      <c r="DN39" s="116"/>
      <c r="DO39" s="74" t="str">
        <f t="shared" si="113"/>
        <v xml:space="preserve"> </v>
      </c>
      <c r="DP39" s="79">
        <v>0</v>
      </c>
      <c r="DQ39" s="79">
        <v>0</v>
      </c>
      <c r="DR39" s="79">
        <v>0</v>
      </c>
      <c r="DS39" s="81">
        <v>0</v>
      </c>
      <c r="DT39" s="122"/>
      <c r="DU39" s="108"/>
      <c r="DV39" s="108"/>
      <c r="DW39" s="114"/>
      <c r="DX39" s="114"/>
      <c r="DY39" s="74" t="str">
        <f t="shared" si="114"/>
        <v xml:space="preserve"> </v>
      </c>
      <c r="DZ39" s="90">
        <v>0</v>
      </c>
      <c r="EA39" s="90">
        <v>0</v>
      </c>
      <c r="EB39" s="90">
        <v>0</v>
      </c>
      <c r="EC39" s="91">
        <v>0</v>
      </c>
      <c r="ED39" s="120"/>
      <c r="EE39" s="121"/>
      <c r="EF39" s="121"/>
      <c r="EG39" s="116"/>
      <c r="EH39" s="116"/>
      <c r="EI39" s="74" t="str">
        <f t="shared" si="105"/>
        <v xml:space="preserve"> </v>
      </c>
      <c r="EJ39" s="92">
        <v>0</v>
      </c>
      <c r="EK39" s="92">
        <v>0</v>
      </c>
      <c r="EL39" s="92">
        <v>0</v>
      </c>
      <c r="EM39" s="93">
        <v>0</v>
      </c>
      <c r="EN39" s="122"/>
      <c r="EO39" s="108"/>
      <c r="EP39" s="108"/>
      <c r="EQ39" s="114"/>
      <c r="ER39" s="114"/>
      <c r="ES39" s="74" t="str">
        <f t="shared" si="106"/>
        <v xml:space="preserve"> </v>
      </c>
      <c r="ET39" s="94">
        <v>0</v>
      </c>
      <c r="EU39" s="90"/>
      <c r="EV39" s="94">
        <v>0</v>
      </c>
      <c r="EW39" s="95">
        <v>0</v>
      </c>
      <c r="EX39" s="120"/>
      <c r="EY39" s="121"/>
      <c r="EZ39" s="121"/>
      <c r="FA39" s="116"/>
      <c r="FB39" s="116"/>
      <c r="FC39" s="74" t="str">
        <f t="shared" si="115"/>
        <v xml:space="preserve"> </v>
      </c>
      <c r="FD39" s="123"/>
      <c r="FE39" s="123"/>
      <c r="FF39" s="123"/>
      <c r="FG39" s="123"/>
      <c r="FH39" s="76">
        <f t="shared" si="116"/>
        <v>0</v>
      </c>
      <c r="FI39" s="122"/>
      <c r="FJ39" s="108"/>
      <c r="FK39" s="108"/>
      <c r="FL39" s="114"/>
      <c r="FM39" s="114"/>
      <c r="FN39" s="74" t="str">
        <f t="shared" si="117"/>
        <v xml:space="preserve"> </v>
      </c>
      <c r="FO39" s="90"/>
      <c r="FP39" s="90"/>
      <c r="FQ39" s="90"/>
      <c r="FR39" s="90"/>
      <c r="FS39" s="76">
        <f t="shared" si="118"/>
        <v>0</v>
      </c>
      <c r="FT39" s="120"/>
      <c r="FU39" s="121"/>
      <c r="FV39" s="121"/>
      <c r="FW39" s="116"/>
      <c r="FX39" s="116"/>
      <c r="FY39" s="74" t="str">
        <f t="shared" si="119"/>
        <v xml:space="preserve"> </v>
      </c>
      <c r="FZ39" s="123"/>
      <c r="GA39" s="123"/>
      <c r="GB39" s="123"/>
      <c r="GC39" s="123"/>
      <c r="GD39" s="76">
        <f t="shared" si="120"/>
        <v>0</v>
      </c>
      <c r="GE39" s="111"/>
      <c r="GF39" s="96">
        <v>0</v>
      </c>
      <c r="GG39" s="96" t="s">
        <v>335</v>
      </c>
      <c r="GH39" s="96"/>
      <c r="GI39" s="63" t="s">
        <v>221</v>
      </c>
      <c r="GJ39" s="63" t="s">
        <v>221</v>
      </c>
      <c r="GK39" s="97">
        <f t="shared" si="84"/>
        <v>0</v>
      </c>
      <c r="GL39" s="63" t="s">
        <v>221</v>
      </c>
      <c r="GM39" s="79"/>
      <c r="GN39" s="97">
        <f t="shared" si="121"/>
        <v>0</v>
      </c>
      <c r="GO39" s="97">
        <f t="shared" si="122"/>
        <v>0</v>
      </c>
      <c r="GP39" s="111"/>
      <c r="GQ39" s="96" t="s">
        <v>213</v>
      </c>
      <c r="GR39" s="96" t="s">
        <v>239</v>
      </c>
      <c r="GS39" s="96" t="s">
        <v>213</v>
      </c>
      <c r="GT39" s="96" t="s">
        <v>239</v>
      </c>
      <c r="GU39" s="96" t="s">
        <v>213</v>
      </c>
      <c r="GV39" s="96" t="s">
        <v>239</v>
      </c>
      <c r="GW39" s="96" t="s">
        <v>213</v>
      </c>
      <c r="GX39" s="96" t="s">
        <v>213</v>
      </c>
      <c r="GY39" s="65" t="s">
        <v>239</v>
      </c>
      <c r="GZ39" s="65" t="s">
        <v>239</v>
      </c>
      <c r="HA39" s="100" t="s">
        <v>213</v>
      </c>
      <c r="HB39" s="100" t="s">
        <v>213</v>
      </c>
      <c r="HC39" s="100" t="s">
        <v>213</v>
      </c>
      <c r="HD39" s="100" t="s">
        <v>213</v>
      </c>
      <c r="HE39" s="100" t="s">
        <v>239</v>
      </c>
      <c r="HF39" s="100" t="s">
        <v>239</v>
      </c>
      <c r="HG39" s="100" t="s">
        <v>239</v>
      </c>
      <c r="HH39" s="100">
        <v>0</v>
      </c>
      <c r="HI39" s="100">
        <v>0</v>
      </c>
      <c r="HJ39" s="100">
        <v>0</v>
      </c>
      <c r="HK39" s="100">
        <v>0</v>
      </c>
      <c r="HL39" s="65" t="s">
        <v>239</v>
      </c>
      <c r="HM39" s="65" t="str">
        <f t="shared" ref="HM39:HM94" si="124">IFERROR(IF(OR(IT39&gt;0,IU39&gt;0,IV39&gt;0),"x",""),"")</f>
        <v/>
      </c>
      <c r="HN39" s="65" t="str">
        <f>IFERROR(IF(OR(IW39&gt;0,IX39&gt;0,IY39&gt;0,IZ39&gt;0),"x",""),"")</f>
        <v/>
      </c>
      <c r="HO39" s="65" t="s">
        <v>239</v>
      </c>
      <c r="HP39" s="65" t="s">
        <v>239</v>
      </c>
      <c r="HQ39" s="65" t="s">
        <v>239</v>
      </c>
      <c r="HR39" s="96"/>
      <c r="HS39" s="96"/>
      <c r="HT39" s="96"/>
      <c r="HU39" s="96"/>
      <c r="HV39" s="96"/>
      <c r="HW39" s="96"/>
      <c r="HX39" s="96"/>
      <c r="HY39" s="96"/>
      <c r="HZ39" s="63" t="s">
        <v>239</v>
      </c>
      <c r="IA39" s="96"/>
      <c r="IB39" s="96"/>
      <c r="IC39" s="96" t="s">
        <v>213</v>
      </c>
      <c r="ID39" s="96" t="s">
        <v>240</v>
      </c>
      <c r="IE39" s="100">
        <v>0</v>
      </c>
      <c r="IF39" s="100">
        <v>0</v>
      </c>
      <c r="IG39" s="100">
        <v>0</v>
      </c>
      <c r="IH39" s="100">
        <v>0</v>
      </c>
      <c r="II39" s="100">
        <v>0</v>
      </c>
      <c r="IJ39" s="100">
        <v>0</v>
      </c>
      <c r="IK39" s="100">
        <v>0</v>
      </c>
      <c r="IL39" s="100">
        <v>0</v>
      </c>
      <c r="IM39" s="111"/>
      <c r="IN39" s="125"/>
      <c r="IO39" s="125"/>
      <c r="IP39" s="96"/>
      <c r="IQ39" s="96"/>
      <c r="IR39" s="96"/>
      <c r="IS39" s="96"/>
      <c r="IT39" s="96"/>
      <c r="IU39" s="96"/>
      <c r="IV39" s="96"/>
      <c r="IW39" s="96"/>
      <c r="IX39" s="96"/>
      <c r="IY39" s="96"/>
      <c r="IZ39" s="96"/>
      <c r="JA39" s="65">
        <f t="shared" si="107"/>
        <v>0</v>
      </c>
      <c r="JB39" s="96"/>
      <c r="JC39" s="125"/>
      <c r="JD39" s="125"/>
      <c r="JE39" s="96"/>
      <c r="JF39" s="96"/>
      <c r="JG39" s="96"/>
      <c r="JH39" s="96"/>
      <c r="JI39" s="96"/>
      <c r="JJ39" s="96"/>
      <c r="JK39" s="96"/>
      <c r="JL39" s="96"/>
      <c r="JM39" s="96"/>
      <c r="JN39" s="96"/>
      <c r="JO39" s="63"/>
      <c r="JP39" s="65">
        <f t="shared" si="29"/>
        <v>0</v>
      </c>
      <c r="JQ39" s="96">
        <f>JJ39-JF39</f>
        <v>0</v>
      </c>
      <c r="LM39" s="205"/>
      <c r="LN39" s="102">
        <f>IFERROR(ROWS($IL$8:IL39)," ")</f>
        <v>32</v>
      </c>
      <c r="LO39" s="103" t="str">
        <f>IFERROR(IF([1]Checklist!$C$3='GenInfo (2)'!E39,'GenInfo (2)'!LN39," ")," ")</f>
        <v xml:space="preserve"> </v>
      </c>
      <c r="LP39" s="104" t="str">
        <f>IFERROR(SMALL($LO$8:$LO$94,ROWS($IL$8:IL39))," ")</f>
        <v xml:space="preserve"> </v>
      </c>
      <c r="LQ39" s="102">
        <f>IFERROR(ROWS($IL$8:IL39)," ")</f>
        <v>32</v>
      </c>
      <c r="LR39" s="103" t="str">
        <f>IFERROR(IF([1]Checklist!$C$4='GenInfo (2)'!E39,'GenInfo (2)'!LQ39," ")," ")</f>
        <v xml:space="preserve"> </v>
      </c>
      <c r="LS39" s="104" t="str">
        <f>IFERROR(SMALL($LR$8:$LR$94,ROWS($IL$8:IL39))," ")</f>
        <v xml:space="preserve"> </v>
      </c>
      <c r="LT39" s="102">
        <f>IFERROR(ROWS($IL$8:IL39)," ")</f>
        <v>32</v>
      </c>
      <c r="LU39" s="103" t="str">
        <f>IFERROR(IF([1]Checklist!$C$5='GenInfo (2)'!E39,'GenInfo (2)'!LT39," ")," ")</f>
        <v xml:space="preserve"> </v>
      </c>
      <c r="LV39" s="104" t="str">
        <f>IFERROR(SMALL($LU$8:$LU$94,ROWS($IL$8:IL39))," ")</f>
        <v xml:space="preserve"> </v>
      </c>
      <c r="LW39" s="102">
        <f>IFERROR(ROWS($IL$8:IL39)," ")</f>
        <v>32</v>
      </c>
      <c r="LX39" s="103" t="str">
        <f>IFERROR(IF([1]Checklist!$C$6='GenInfo (2)'!E39,'GenInfo (2)'!LW39," ")," ")</f>
        <v xml:space="preserve"> </v>
      </c>
      <c r="LY39" s="104" t="str">
        <f>IFERROR(SMALL($LX$8:$LX$94,ROWS($IL$8:IL39))," ")</f>
        <v xml:space="preserve"> </v>
      </c>
      <c r="LZ39" s="102">
        <f>IFERROR(ROWS($IL$8:IL39)," ")</f>
        <v>32</v>
      </c>
      <c r="MA39" s="103" t="str">
        <f>IFERROR(IF([1]Checklist!$C$7='GenInfo (2)'!E39,'GenInfo (2)'!LZ39," ")," ")</f>
        <v xml:space="preserve"> </v>
      </c>
      <c r="MB39" s="104" t="str">
        <f>IFERROR(SMALL($MA$8:$MA$94,ROWS($IL$8:IL39))," ")</f>
        <v xml:space="preserve"> </v>
      </c>
      <c r="MC39" s="102">
        <f>IFERROR(ROWS($IL$8:IL39)," ")</f>
        <v>32</v>
      </c>
      <c r="MD39" s="103" t="str">
        <f>IFERROR(IF([1]Checklist!$C$8='GenInfo (2)'!E39,'GenInfo (2)'!MC39," ")," ")</f>
        <v xml:space="preserve"> </v>
      </c>
      <c r="ME39" s="104" t="str">
        <f>IFERROR(SMALL($MD$8:$MD$94,ROWS($IL$8:IL39))," ")</f>
        <v xml:space="preserve"> </v>
      </c>
      <c r="MF39" s="102">
        <f>IFERROR(ROWS($IL$8:IL39)," ")</f>
        <v>32</v>
      </c>
      <c r="MG39" s="103" t="str">
        <f>IFERROR(IF([1]Checklist!$C$9='GenInfo (2)'!E39,'GenInfo (2)'!MF39," ")," ")</f>
        <v xml:space="preserve"> </v>
      </c>
      <c r="MH39" s="104" t="str">
        <f>IFERROR(SMALL($MG$8:$MG$94,ROWS($IL$8:IL39))," ")</f>
        <v xml:space="preserve"> </v>
      </c>
      <c r="MI39" s="102">
        <f>IFERROR(ROWS($IL$8:$IL39)," ")</f>
        <v>32</v>
      </c>
      <c r="MJ39" s="103" t="str">
        <f>IFERROR(IF([1]Checklist!$C$10='GenInfo (2)'!E39,'GenInfo (2)'!MI39," ")," ")</f>
        <v xml:space="preserve"> </v>
      </c>
      <c r="MK39" s="104" t="str">
        <f>IFERROR(SMALL($MJ$8:$MJ$94,ROWS($IL$8:IL39))," ")</f>
        <v xml:space="preserve"> </v>
      </c>
      <c r="ML39" s="102">
        <f>IFERROR(ROWS($IL$8:IL39)," ")</f>
        <v>32</v>
      </c>
      <c r="MM39" s="103" t="str">
        <f>IFERROR(IF([1]Checklist!$C$11='GenInfo (2)'!E39,'GenInfo (2)'!ML39," ")," ")</f>
        <v xml:space="preserve"> </v>
      </c>
      <c r="MN39" s="104" t="str">
        <f>IFERROR(SMALL($MM$8:$MM$94,ROWS($IL$8:IL39))," ")</f>
        <v xml:space="preserve"> </v>
      </c>
      <c r="MO39" s="102">
        <f>IFERROR(ROWS($IL$8:IL39)," ")</f>
        <v>32</v>
      </c>
      <c r="MP39" s="103" t="str">
        <f>IFERROR(IF([1]Checklist!$C$12='GenInfo (2)'!E39,'GenInfo (2)'!MO39," ")," ")</f>
        <v xml:space="preserve"> </v>
      </c>
      <c r="MQ39" s="104" t="str">
        <f>IFERROR(SMALL($MP$8:$MP$94,ROWS($IL$8:IL39))," ")</f>
        <v xml:space="preserve"> </v>
      </c>
      <c r="MR39" s="102">
        <f>IFERROR(ROWS($IL$8:IL39)," ")</f>
        <v>32</v>
      </c>
      <c r="MS39" s="103" t="str">
        <f>IFERROR(IF([1]Checklist!$C$13='GenInfo (2)'!E39,'GenInfo (2)'!MR39," ")," ")</f>
        <v xml:space="preserve"> </v>
      </c>
      <c r="MT39" s="104" t="str">
        <f>IFERROR(SMALL($MS$8:$MS$94,ROWS($IL$8:IL39))," ")</f>
        <v xml:space="preserve"> </v>
      </c>
      <c r="MU39" s="102">
        <f>IFERROR(ROWS($IL$8:IL39)," ")</f>
        <v>32</v>
      </c>
      <c r="MV39" s="103">
        <f>IFERROR(IF([1]Checklist!$C$14='GenInfo (2)'!E39,'GenInfo (2)'!MU39," ")," ")</f>
        <v>32</v>
      </c>
      <c r="MW39" s="104" t="str">
        <f>IFERROR(SMALL($MV$8:$MV$94,ROWS($IL$8:IL39))," ")</f>
        <v xml:space="preserve"> </v>
      </c>
      <c r="MX39" s="102">
        <f>IFERROR(ROWS($IL$8:IL39)," ")</f>
        <v>32</v>
      </c>
      <c r="MY39" s="103" t="str">
        <f>IFERROR(IF([1]Checklist!$C$15='GenInfo (2)'!E39,'GenInfo (2)'!MX39," ")," ")</f>
        <v xml:space="preserve"> </v>
      </c>
      <c r="MZ39" s="104" t="str">
        <f>IFERROR(SMALL($MY$8:$MY$94,ROWS($IL$8:IL39))," ")</f>
        <v xml:space="preserve"> </v>
      </c>
      <c r="NA39" s="102">
        <f>IFERROR(ROWS($IL$8:IL39)," ")</f>
        <v>32</v>
      </c>
      <c r="NB39" s="103" t="str">
        <f>IFERROR(IF([1]Checklist!$C$16='GenInfo (2)'!E39,'GenInfo (2)'!NA39," ")," ")</f>
        <v xml:space="preserve"> </v>
      </c>
      <c r="NC39" s="104" t="str">
        <f>IFERROR(SMALL($NB$8:$NB$94,ROWS($IL$8:IL39))," ")</f>
        <v xml:space="preserve"> </v>
      </c>
      <c r="ND39" s="102">
        <f>IFERROR(ROWS($IL$8:IL39)," ")</f>
        <v>32</v>
      </c>
      <c r="NE39" s="103" t="str">
        <f>IFERROR(IF([1]Checklist!$C$17='GenInfo (2)'!E39,'GenInfo (2)'!ND39," ")," ")</f>
        <v xml:space="preserve"> </v>
      </c>
      <c r="NF39" s="104" t="str">
        <f>IFERROR(SMALL($NE$8:$NE$94,ROWS($IL$8:IL39))," ")</f>
        <v xml:space="preserve"> </v>
      </c>
    </row>
    <row r="40" spans="1:370" ht="28.5" x14ac:dyDescent="0.45">
      <c r="A40" s="37" t="s">
        <v>213</v>
      </c>
      <c r="B40" s="37">
        <v>219</v>
      </c>
      <c r="C40" s="146" t="s">
        <v>562</v>
      </c>
      <c r="D40" t="s">
        <v>563</v>
      </c>
      <c r="E40" s="64" t="s">
        <v>545</v>
      </c>
      <c r="F40" s="63" t="s">
        <v>564</v>
      </c>
      <c r="G40" s="64" t="s">
        <v>218</v>
      </c>
      <c r="H40" s="63"/>
      <c r="I40" s="137" t="s">
        <v>565</v>
      </c>
      <c r="J40" s="63" t="s">
        <v>566</v>
      </c>
      <c r="K40" s="62"/>
      <c r="L40" s="67">
        <v>43930</v>
      </c>
      <c r="M40" s="67">
        <v>43931</v>
      </c>
      <c r="N40" s="67" t="s">
        <v>213</v>
      </c>
      <c r="O40" s="68">
        <v>43922</v>
      </c>
      <c r="P40" s="67"/>
      <c r="Q40" s="67"/>
      <c r="R40" s="63"/>
      <c r="S40" s="67"/>
      <c r="T40" s="63"/>
      <c r="U40" s="62"/>
      <c r="V40" s="67">
        <v>43948</v>
      </c>
      <c r="W40" s="63" t="s">
        <v>222</v>
      </c>
      <c r="X40" s="69"/>
      <c r="Y40" s="63"/>
      <c r="Z40" s="69"/>
      <c r="AA40" s="62"/>
      <c r="AB40" s="63" t="s">
        <v>567</v>
      </c>
      <c r="AC40" s="63" t="s">
        <v>568</v>
      </c>
      <c r="AD40" s="66" t="s">
        <v>569</v>
      </c>
      <c r="AE40" s="63" t="s">
        <v>525</v>
      </c>
      <c r="AF40" s="63" t="s">
        <v>570</v>
      </c>
      <c r="AG40" s="63"/>
      <c r="AH40" s="63" t="s">
        <v>251</v>
      </c>
      <c r="AI40" s="63" t="s">
        <v>230</v>
      </c>
      <c r="AJ40" s="63">
        <v>60655</v>
      </c>
      <c r="AK40" s="62"/>
      <c r="AL40" s="71">
        <f t="shared" si="95"/>
        <v>19</v>
      </c>
      <c r="AM40" s="71">
        <v>19</v>
      </c>
      <c r="AN40" s="67">
        <v>36742</v>
      </c>
      <c r="AO40" s="72" t="str">
        <f t="shared" ca="1" si="97"/>
        <v/>
      </c>
      <c r="AP40" s="63" t="s">
        <v>313</v>
      </c>
      <c r="AQ40" s="73" t="s">
        <v>264</v>
      </c>
      <c r="AR40" s="70" t="s">
        <v>233</v>
      </c>
      <c r="AS40" s="63">
        <v>1</v>
      </c>
      <c r="AT40" s="63">
        <v>365</v>
      </c>
      <c r="AU40" s="63">
        <v>15</v>
      </c>
      <c r="AV40" s="63" t="s">
        <v>265</v>
      </c>
      <c r="AW40" s="63">
        <v>7</v>
      </c>
      <c r="AX40" s="63" t="s">
        <v>236</v>
      </c>
      <c r="AY40" s="63" t="s">
        <v>290</v>
      </c>
      <c r="AZ40" s="63" t="s">
        <v>235</v>
      </c>
      <c r="BA40" s="63" t="s">
        <v>235</v>
      </c>
      <c r="BB40" s="63"/>
      <c r="BC40" s="63"/>
      <c r="BD40" s="62"/>
      <c r="BE40" s="71">
        <f t="shared" si="98"/>
        <v>0</v>
      </c>
      <c r="BF40" s="71">
        <f t="shared" si="98"/>
        <v>0</v>
      </c>
      <c r="BG40" s="71">
        <f t="shared" si="99"/>
        <v>0</v>
      </c>
      <c r="BH40" s="74" t="str">
        <f t="shared" si="100"/>
        <v xml:space="preserve"> </v>
      </c>
      <c r="BI40" s="75" t="str">
        <f t="shared" si="101"/>
        <v xml:space="preserve"> </v>
      </c>
      <c r="BJ40" s="71">
        <f t="shared" si="102"/>
        <v>0</v>
      </c>
      <c r="BK40" s="75" t="str">
        <f t="shared" si="103"/>
        <v xml:space="preserve"> </v>
      </c>
      <c r="BL40" s="76">
        <f t="shared" si="104"/>
        <v>0</v>
      </c>
      <c r="BM40" s="77">
        <f t="shared" si="104"/>
        <v>0</v>
      </c>
      <c r="BN40" s="78"/>
      <c r="BO40" s="67"/>
      <c r="BP40" s="67"/>
      <c r="BQ40" s="63"/>
      <c r="BR40" s="63"/>
      <c r="BS40" s="74" t="str">
        <f t="shared" si="108"/>
        <v xml:space="preserve"> </v>
      </c>
      <c r="BT40" s="79" t="s">
        <v>221</v>
      </c>
      <c r="BU40" s="79" t="s">
        <v>221</v>
      </c>
      <c r="BV40" s="80">
        <v>0</v>
      </c>
      <c r="BW40" s="81">
        <v>0</v>
      </c>
      <c r="BX40" s="82"/>
      <c r="BY40" s="83"/>
      <c r="BZ40" s="83"/>
      <c r="CA40" s="84"/>
      <c r="CB40" s="84"/>
      <c r="CC40" s="74" t="str">
        <f t="shared" si="109"/>
        <v xml:space="preserve"> </v>
      </c>
      <c r="CD40" s="79" t="s">
        <v>221</v>
      </c>
      <c r="CE40" s="81">
        <v>0</v>
      </c>
      <c r="CF40" s="85"/>
      <c r="CG40" s="85"/>
      <c r="CH40" s="85"/>
      <c r="CI40" s="78"/>
      <c r="CJ40" s="78"/>
      <c r="CK40" s="74" t="str">
        <f t="shared" si="110"/>
        <v xml:space="preserve"> </v>
      </c>
      <c r="CL40" s="79" t="s">
        <v>221</v>
      </c>
      <c r="CM40" s="79" t="s">
        <v>221</v>
      </c>
      <c r="CN40" s="86" t="s">
        <v>221</v>
      </c>
      <c r="CO40" s="81">
        <v>0</v>
      </c>
      <c r="CP40" s="87"/>
      <c r="CQ40" s="83"/>
      <c r="CR40" s="83"/>
      <c r="CS40" s="82"/>
      <c r="CT40" s="82"/>
      <c r="CU40" s="74" t="str">
        <f t="shared" si="111"/>
        <v xml:space="preserve"> </v>
      </c>
      <c r="CV40" s="79" t="s">
        <v>221</v>
      </c>
      <c r="CW40" s="79" t="s">
        <v>221</v>
      </c>
      <c r="CX40" s="88" t="s">
        <v>221</v>
      </c>
      <c r="CY40" s="81">
        <v>0</v>
      </c>
      <c r="CZ40" s="89"/>
      <c r="DA40" s="67"/>
      <c r="DB40" s="67"/>
      <c r="DC40" s="78"/>
      <c r="DD40" s="78"/>
      <c r="DE40" s="74" t="str">
        <f t="shared" si="112"/>
        <v xml:space="preserve"> </v>
      </c>
      <c r="DF40" s="79" t="s">
        <v>221</v>
      </c>
      <c r="DG40" s="79" t="s">
        <v>221</v>
      </c>
      <c r="DH40" s="79" t="s">
        <v>221</v>
      </c>
      <c r="DI40" s="81">
        <v>0</v>
      </c>
      <c r="DJ40" s="87"/>
      <c r="DK40" s="83"/>
      <c r="DL40" s="83"/>
      <c r="DM40" s="82"/>
      <c r="DN40" s="82"/>
      <c r="DO40" s="74" t="str">
        <f t="shared" si="113"/>
        <v xml:space="preserve"> </v>
      </c>
      <c r="DP40" s="79" t="s">
        <v>221</v>
      </c>
      <c r="DQ40" s="79" t="s">
        <v>221</v>
      </c>
      <c r="DR40" s="79" t="s">
        <v>221</v>
      </c>
      <c r="DS40" s="81">
        <v>0</v>
      </c>
      <c r="DT40" s="89"/>
      <c r="DU40" s="67"/>
      <c r="DV40" s="67"/>
      <c r="DW40" s="78"/>
      <c r="DX40" s="78"/>
      <c r="DY40" s="74" t="str">
        <f t="shared" si="114"/>
        <v xml:space="preserve"> </v>
      </c>
      <c r="DZ40" s="90">
        <v>0</v>
      </c>
      <c r="EA40" s="90">
        <v>0</v>
      </c>
      <c r="EB40" s="90">
        <v>0</v>
      </c>
      <c r="EC40" s="91">
        <v>0</v>
      </c>
      <c r="ED40" s="87"/>
      <c r="EE40" s="83"/>
      <c r="EF40" s="83"/>
      <c r="EG40" s="82"/>
      <c r="EH40" s="82"/>
      <c r="EI40" s="74" t="str">
        <f t="shared" si="105"/>
        <v xml:space="preserve"> </v>
      </c>
      <c r="EJ40" s="92"/>
      <c r="EK40" s="92"/>
      <c r="EL40" s="92"/>
      <c r="EM40" s="92"/>
      <c r="EN40" s="89"/>
      <c r="EO40" s="67"/>
      <c r="EP40" s="67"/>
      <c r="EQ40" s="78"/>
      <c r="ER40" s="78"/>
      <c r="ES40" s="74" t="str">
        <f t="shared" si="106"/>
        <v xml:space="preserve"> </v>
      </c>
      <c r="ET40" s="94"/>
      <c r="EU40" s="94"/>
      <c r="EV40" s="94">
        <v>0</v>
      </c>
      <c r="EW40" s="95">
        <v>0</v>
      </c>
      <c r="EX40" s="87"/>
      <c r="EY40" s="83"/>
      <c r="EZ40" s="83"/>
      <c r="FA40" s="82"/>
      <c r="FB40" s="82"/>
      <c r="FC40" s="74" t="str">
        <f t="shared" si="115"/>
        <v xml:space="preserve"> </v>
      </c>
      <c r="FD40" s="92"/>
      <c r="FE40" s="92"/>
      <c r="FF40" s="92"/>
      <c r="FG40" s="92"/>
      <c r="FH40" s="76">
        <f t="shared" si="116"/>
        <v>0</v>
      </c>
      <c r="FI40" s="89"/>
      <c r="FJ40" s="67"/>
      <c r="FK40" s="67"/>
      <c r="FL40" s="78"/>
      <c r="FM40" s="78"/>
      <c r="FN40" s="74" t="str">
        <f t="shared" si="117"/>
        <v xml:space="preserve"> </v>
      </c>
      <c r="FO40" s="94"/>
      <c r="FP40" s="94"/>
      <c r="FQ40" s="94"/>
      <c r="FR40" s="94"/>
      <c r="FS40" s="76">
        <f t="shared" si="118"/>
        <v>0</v>
      </c>
      <c r="FT40" s="87"/>
      <c r="FU40" s="83"/>
      <c r="FV40" s="83"/>
      <c r="FW40" s="82"/>
      <c r="FX40" s="82"/>
      <c r="FY40" s="74" t="str">
        <f t="shared" si="119"/>
        <v xml:space="preserve"> </v>
      </c>
      <c r="FZ40" s="92"/>
      <c r="GA40" s="92"/>
      <c r="GB40" s="92"/>
      <c r="GC40" s="92"/>
      <c r="GD40" s="76">
        <f t="shared" si="120"/>
        <v>0</v>
      </c>
      <c r="GE40" s="62"/>
      <c r="GF40" s="96" t="s">
        <v>221</v>
      </c>
      <c r="GG40" s="96" t="s">
        <v>221</v>
      </c>
      <c r="GH40" s="63"/>
      <c r="GI40" s="63" t="s">
        <v>221</v>
      </c>
      <c r="GJ40" s="63" t="s">
        <v>221</v>
      </c>
      <c r="GK40" s="97">
        <f t="shared" si="84"/>
        <v>0</v>
      </c>
      <c r="GL40" s="63" t="s">
        <v>221</v>
      </c>
      <c r="GM40" s="98"/>
      <c r="GN40" s="97">
        <f t="shared" si="121"/>
        <v>0</v>
      </c>
      <c r="GO40" s="97" t="str">
        <f t="shared" si="122"/>
        <v xml:space="preserve"> </v>
      </c>
      <c r="GP40" s="62"/>
      <c r="GQ40" s="63"/>
      <c r="GR40" s="63"/>
      <c r="GS40" s="63"/>
      <c r="GT40" s="63"/>
      <c r="GU40" s="63"/>
      <c r="GV40" s="63"/>
      <c r="GW40" s="63"/>
      <c r="GX40" s="63"/>
      <c r="GY40" s="65" t="str">
        <f t="shared" ref="GY40" si="125">IFERROR(IF(IN40&gt;0,"X",""),"")</f>
        <v/>
      </c>
      <c r="GZ40" s="65" t="str">
        <f t="shared" ref="GZ40" si="126">IFERROR(IF(JC40&gt;0,"X",""),"")</f>
        <v/>
      </c>
      <c r="HA40" s="63"/>
      <c r="HB40" s="63"/>
      <c r="HC40" s="63"/>
      <c r="HD40" s="63"/>
      <c r="HE40" s="63"/>
      <c r="HF40" s="63" t="s">
        <v>213</v>
      </c>
      <c r="HG40" s="63"/>
      <c r="HH40" s="63"/>
      <c r="HI40" s="63"/>
      <c r="HJ40" s="63"/>
      <c r="HK40" s="63"/>
      <c r="HL40" s="65" t="str">
        <f t="shared" ref="HL40" si="127">IFERROR(IF(OR(IQ40&gt;0,IR40&gt;0,IS40&gt;0),"x",""),"")</f>
        <v/>
      </c>
      <c r="HM40" s="65" t="str">
        <f t="shared" si="124"/>
        <v/>
      </c>
      <c r="HN40" s="65" t="str">
        <f>IFERROR(IF(OR(IW40&gt;0,IX40&gt;0,IY40&gt;0,IZ40&gt;0),"x",""),"")</f>
        <v/>
      </c>
      <c r="HO40" s="65" t="str">
        <f t="shared" ref="HO40" si="128">IFERROR(IF(OR(JE40&gt;0,JF40&gt;0,JG40&gt;0,JH40&gt;0),"x",""),"")</f>
        <v/>
      </c>
      <c r="HP40" s="99" t="str">
        <f>IFERROR(IF(OR(JI40&gt;0,JJ40&gt;0,JK40&gt;0),"x",""),"")</f>
        <v/>
      </c>
      <c r="HQ40" s="99" t="str">
        <f>IFERROR(IF(OR(JL40&gt;0,JM40&gt;0,JN40&gt;0,JO40&gt;0),"x",""),"")</f>
        <v/>
      </c>
      <c r="HR40" s="63"/>
      <c r="HS40" s="63"/>
      <c r="HT40" s="63"/>
      <c r="HU40" s="63"/>
      <c r="HV40" s="63"/>
      <c r="HW40" s="63"/>
      <c r="HX40" s="63"/>
      <c r="HY40" s="63"/>
      <c r="HZ40" s="63"/>
      <c r="IA40" s="63"/>
      <c r="IB40" s="63"/>
      <c r="IC40" s="63"/>
      <c r="ID40" s="63"/>
      <c r="IE40" s="63" t="s">
        <v>213</v>
      </c>
      <c r="IF40" s="63" t="s">
        <v>213</v>
      </c>
      <c r="IG40" s="63" t="s">
        <v>213</v>
      </c>
      <c r="IH40" s="63" t="s">
        <v>213</v>
      </c>
      <c r="II40" s="63" t="s">
        <v>213</v>
      </c>
      <c r="IJ40" s="63" t="s">
        <v>213</v>
      </c>
      <c r="IK40" s="63" t="s">
        <v>213</v>
      </c>
      <c r="IL40" s="63" t="s">
        <v>213</v>
      </c>
      <c r="IM40" s="62"/>
      <c r="IN40" s="101"/>
      <c r="IO40" s="101"/>
      <c r="IP40" s="63"/>
      <c r="IQ40" s="63"/>
      <c r="IR40" s="63"/>
      <c r="IS40" s="63"/>
      <c r="IT40" s="63"/>
      <c r="IU40" s="63"/>
      <c r="IV40" s="63"/>
      <c r="IW40" s="63"/>
      <c r="IX40" s="63"/>
      <c r="IY40" s="63"/>
      <c r="IZ40" s="63"/>
      <c r="JA40" s="65">
        <f t="shared" si="107"/>
        <v>0</v>
      </c>
      <c r="JB40" s="63"/>
      <c r="JC40" s="101"/>
      <c r="JD40" s="101"/>
      <c r="JE40" s="63"/>
      <c r="JF40" s="63"/>
      <c r="JG40" s="63"/>
      <c r="JH40" s="63"/>
      <c r="JI40" s="63"/>
      <c r="JJ40" s="63"/>
      <c r="JK40" s="63"/>
      <c r="JL40" s="63"/>
      <c r="JM40" s="63"/>
      <c r="JN40" s="96"/>
      <c r="JO40" s="96"/>
      <c r="JP40" s="65">
        <f t="shared" si="29"/>
        <v>0</v>
      </c>
      <c r="JQ40" s="63"/>
      <c r="LM40" s="205"/>
      <c r="LN40" s="102">
        <f>IFERROR(ROWS($IL$8:IL40)," ")</f>
        <v>33</v>
      </c>
      <c r="LO40" s="103" t="str">
        <f>IFERROR(IF([1]Checklist!$C$3='GenInfo (2)'!E40,'GenInfo (2)'!LN40," ")," ")</f>
        <v xml:space="preserve"> </v>
      </c>
      <c r="LP40" s="104" t="str">
        <f>IFERROR(SMALL($LO$8:$LO$94,ROWS($IL$8:IL40))," ")</f>
        <v xml:space="preserve"> </v>
      </c>
      <c r="LQ40" s="102">
        <f>IFERROR(ROWS($IL$8:IL40)," ")</f>
        <v>33</v>
      </c>
      <c r="LR40" s="103" t="str">
        <f>IFERROR(IF([1]Checklist!$C$4='GenInfo (2)'!E40,'GenInfo (2)'!LQ40," ")," ")</f>
        <v xml:space="preserve"> </v>
      </c>
      <c r="LS40" s="104" t="str">
        <f>IFERROR(SMALL($LR$8:$LR$94,ROWS($IL$8:IL40))," ")</f>
        <v xml:space="preserve"> </v>
      </c>
      <c r="LT40" s="102">
        <f>IFERROR(ROWS($IL$8:IL40)," ")</f>
        <v>33</v>
      </c>
      <c r="LU40" s="103" t="str">
        <f>IFERROR(IF([1]Checklist!$C$5='GenInfo (2)'!E40,'GenInfo (2)'!LT40," ")," ")</f>
        <v xml:space="preserve"> </v>
      </c>
      <c r="LV40" s="104" t="str">
        <f>IFERROR(SMALL($LU$8:$LU$94,ROWS($IL$8:IL40))," ")</f>
        <v xml:space="preserve"> </v>
      </c>
      <c r="LW40" s="102">
        <f>IFERROR(ROWS($IL$8:IL40)," ")</f>
        <v>33</v>
      </c>
      <c r="LX40" s="103" t="str">
        <f>IFERROR(IF([1]Checklist!$C$6='GenInfo (2)'!E40,'GenInfo (2)'!LW40," ")," ")</f>
        <v xml:space="preserve"> </v>
      </c>
      <c r="LY40" s="104" t="str">
        <f>IFERROR(SMALL($LX$8:$LX$94,ROWS($IL$8:IL40))," ")</f>
        <v xml:space="preserve"> </v>
      </c>
      <c r="LZ40" s="102">
        <f>IFERROR(ROWS($IL$8:IL40)," ")</f>
        <v>33</v>
      </c>
      <c r="MA40" s="103" t="str">
        <f>IFERROR(IF([1]Checklist!$C$7='GenInfo (2)'!E40,'GenInfo (2)'!LZ40," ")," ")</f>
        <v xml:space="preserve"> </v>
      </c>
      <c r="MB40" s="104" t="str">
        <f>IFERROR(SMALL($MA$8:$MA$94,ROWS($IL$8:IL40))," ")</f>
        <v xml:space="preserve"> </v>
      </c>
      <c r="MC40" s="102">
        <f>IFERROR(ROWS($IL$8:IL40)," ")</f>
        <v>33</v>
      </c>
      <c r="MD40" s="103" t="str">
        <f>IFERROR(IF([1]Checklist!$C$8='GenInfo (2)'!E40,'GenInfo (2)'!MC40," ")," ")</f>
        <v xml:space="preserve"> </v>
      </c>
      <c r="ME40" s="104" t="str">
        <f>IFERROR(SMALL($MD$8:$MD$94,ROWS($IL$8:IL40))," ")</f>
        <v xml:space="preserve"> </v>
      </c>
      <c r="MF40" s="102">
        <f>IFERROR(ROWS($IL$8:IL40)," ")</f>
        <v>33</v>
      </c>
      <c r="MG40" s="103" t="str">
        <f>IFERROR(IF([1]Checklist!$C$9='GenInfo (2)'!E40,'GenInfo (2)'!MF40," ")," ")</f>
        <v xml:space="preserve"> </v>
      </c>
      <c r="MH40" s="104" t="str">
        <f>IFERROR(SMALL($MG$8:$MG$94,ROWS($IL$8:IL40))," ")</f>
        <v xml:space="preserve"> </v>
      </c>
      <c r="MI40" s="102">
        <f>IFERROR(ROWS($IL$8:$IL40)," ")</f>
        <v>33</v>
      </c>
      <c r="MJ40" s="103" t="str">
        <f>IFERROR(IF([1]Checklist!$C$10='GenInfo (2)'!E40,'GenInfo (2)'!MI40," ")," ")</f>
        <v xml:space="preserve"> </v>
      </c>
      <c r="MK40" s="104" t="str">
        <f>IFERROR(SMALL($MJ$8:$MJ$94,ROWS($IL$8:IL40))," ")</f>
        <v xml:space="preserve"> </v>
      </c>
      <c r="ML40" s="102">
        <f>IFERROR(ROWS($IL$8:IL40)," ")</f>
        <v>33</v>
      </c>
      <c r="MM40" s="103" t="str">
        <f>IFERROR(IF([1]Checklist!$C$11='GenInfo (2)'!E40,'GenInfo (2)'!ML40," ")," ")</f>
        <v xml:space="preserve"> </v>
      </c>
      <c r="MN40" s="104" t="str">
        <f>IFERROR(SMALL($MM$8:$MM$94,ROWS($IL$8:IL40))," ")</f>
        <v xml:space="preserve"> </v>
      </c>
      <c r="MO40" s="102">
        <f>IFERROR(ROWS($IL$8:IL40)," ")</f>
        <v>33</v>
      </c>
      <c r="MP40" s="103" t="str">
        <f>IFERROR(IF([1]Checklist!$C$12='GenInfo (2)'!E40,'GenInfo (2)'!MO40," ")," ")</f>
        <v xml:space="preserve"> </v>
      </c>
      <c r="MQ40" s="104" t="str">
        <f>IFERROR(SMALL($MP$8:$MP$94,ROWS($IL$8:IL40))," ")</f>
        <v xml:space="preserve"> </v>
      </c>
      <c r="MR40" s="102">
        <f>IFERROR(ROWS($IL$8:IL40)," ")</f>
        <v>33</v>
      </c>
      <c r="MS40" s="103" t="str">
        <f>IFERROR(IF([1]Checklist!$C$13='GenInfo (2)'!E40,'GenInfo (2)'!MR40," ")," ")</f>
        <v xml:space="preserve"> </v>
      </c>
      <c r="MT40" s="104" t="str">
        <f>IFERROR(SMALL($MS$8:$MS$94,ROWS($IL$8:IL40))," ")</f>
        <v xml:space="preserve"> </v>
      </c>
      <c r="MU40" s="102">
        <f>IFERROR(ROWS($IL$8:IL40)," ")</f>
        <v>33</v>
      </c>
      <c r="MV40" s="103">
        <f>IFERROR(IF([1]Checklist!$C$14='GenInfo (2)'!E40,'GenInfo (2)'!MU40," ")," ")</f>
        <v>33</v>
      </c>
      <c r="MW40" s="104" t="str">
        <f>IFERROR(SMALL($MV$8:$MV$94,ROWS($IL$8:IL40))," ")</f>
        <v xml:space="preserve"> </v>
      </c>
      <c r="MX40" s="102">
        <f>IFERROR(ROWS($IL$8:IL40)," ")</f>
        <v>33</v>
      </c>
      <c r="MY40" s="103" t="str">
        <f>IFERROR(IF([1]Checklist!$C$15='GenInfo (2)'!E40,'GenInfo (2)'!MX40," ")," ")</f>
        <v xml:space="preserve"> </v>
      </c>
      <c r="MZ40" s="104" t="str">
        <f>IFERROR(SMALL($MY$8:$MY$94,ROWS($IL$8:IL40))," ")</f>
        <v xml:space="preserve"> </v>
      </c>
      <c r="NA40" s="102">
        <f>IFERROR(ROWS($IL$8:IL40)," ")</f>
        <v>33</v>
      </c>
      <c r="NB40" s="103" t="str">
        <f>IFERROR(IF([1]Checklist!$C$16='GenInfo (2)'!E40,'GenInfo (2)'!NA40," ")," ")</f>
        <v xml:space="preserve"> </v>
      </c>
      <c r="NC40" s="104" t="str">
        <f>IFERROR(SMALL($NB$8:$NB$94,ROWS($IL$8:IL40))," ")</f>
        <v xml:space="preserve"> </v>
      </c>
      <c r="ND40" s="102">
        <f>IFERROR(ROWS($IL$8:IL40)," ")</f>
        <v>33</v>
      </c>
      <c r="NE40" s="103" t="str">
        <f>IFERROR(IF([1]Checklist!$C$17='GenInfo (2)'!E40,'GenInfo (2)'!ND40," ")," ")</f>
        <v xml:space="preserve"> </v>
      </c>
      <c r="NF40" s="104" t="str">
        <f>IFERROR(SMALL($NE$8:$NE$94,ROWS($IL$8:IL40))," ")</f>
        <v xml:space="preserve"> </v>
      </c>
    </row>
    <row r="41" spans="1:370" ht="14.25" x14ac:dyDescent="0.45">
      <c r="A41" s="37" t="s">
        <v>213</v>
      </c>
      <c r="B41" s="37">
        <v>227</v>
      </c>
      <c r="C41" s="146" t="s">
        <v>571</v>
      </c>
      <c r="D41" t="s">
        <v>572</v>
      </c>
      <c r="E41" s="64" t="s">
        <v>573</v>
      </c>
      <c r="F41" s="63" t="s">
        <v>574</v>
      </c>
      <c r="G41" s="64" t="s">
        <v>218</v>
      </c>
      <c r="H41" s="63"/>
      <c r="I41" s="137" t="s">
        <v>575</v>
      </c>
      <c r="J41" s="63" t="s">
        <v>576</v>
      </c>
      <c r="K41" s="62"/>
      <c r="L41" s="67">
        <v>43717</v>
      </c>
      <c r="M41" s="67">
        <v>43719</v>
      </c>
      <c r="N41" s="67" t="s">
        <v>213</v>
      </c>
      <c r="O41" s="68">
        <v>43709</v>
      </c>
      <c r="P41" s="67">
        <v>43724</v>
      </c>
      <c r="Q41" s="67">
        <v>43754</v>
      </c>
      <c r="R41" s="63"/>
      <c r="S41" s="67"/>
      <c r="T41" s="63"/>
      <c r="U41" s="111"/>
      <c r="V41" s="67">
        <v>43759</v>
      </c>
      <c r="W41" s="63" t="s">
        <v>222</v>
      </c>
      <c r="X41" s="69"/>
      <c r="Y41" s="67"/>
      <c r="Z41" s="69"/>
      <c r="AA41" s="62"/>
      <c r="AB41" s="63" t="s">
        <v>577</v>
      </c>
      <c r="AC41" s="63" t="s">
        <v>578</v>
      </c>
      <c r="AD41" s="63" t="s">
        <v>579</v>
      </c>
      <c r="AE41" s="63" t="s">
        <v>580</v>
      </c>
      <c r="AF41" s="63" t="s">
        <v>581</v>
      </c>
      <c r="AG41" s="63"/>
      <c r="AH41" s="63" t="s">
        <v>582</v>
      </c>
      <c r="AI41" s="63" t="s">
        <v>230</v>
      </c>
      <c r="AJ41" s="63">
        <v>60466</v>
      </c>
      <c r="AK41" s="62"/>
      <c r="AL41" s="71">
        <f t="shared" si="95"/>
        <v>17</v>
      </c>
      <c r="AM41" s="71">
        <f t="shared" ref="AM41:AM56" ca="1" si="129">IFERROR(DATEDIF($AN41,TODAY(),"y"),"")</f>
        <v>20</v>
      </c>
      <c r="AN41" s="67">
        <v>37214</v>
      </c>
      <c r="AO41" s="72">
        <f t="shared" ca="1" si="97"/>
        <v>9</v>
      </c>
      <c r="AP41" s="63" t="s">
        <v>231</v>
      </c>
      <c r="AQ41" s="73" t="s">
        <v>264</v>
      </c>
      <c r="AR41" s="70" t="s">
        <v>276</v>
      </c>
      <c r="AS41" s="63">
        <v>1</v>
      </c>
      <c r="AT41" s="63"/>
      <c r="AU41" s="63">
        <v>17</v>
      </c>
      <c r="AV41" s="63">
        <v>1</v>
      </c>
      <c r="AW41" s="63"/>
      <c r="AX41" s="63" t="s">
        <v>234</v>
      </c>
      <c r="AY41" s="63" t="s">
        <v>235</v>
      </c>
      <c r="AZ41" s="63" t="s">
        <v>290</v>
      </c>
      <c r="BA41" s="63" t="s">
        <v>290</v>
      </c>
      <c r="BB41" s="63"/>
      <c r="BC41" s="63">
        <v>1</v>
      </c>
      <c r="BD41" s="62"/>
      <c r="BE41" s="71">
        <f t="shared" si="98"/>
        <v>5</v>
      </c>
      <c r="BF41" s="71">
        <f t="shared" si="98"/>
        <v>4</v>
      </c>
      <c r="BG41" s="71">
        <f t="shared" si="99"/>
        <v>3</v>
      </c>
      <c r="BH41" s="74">
        <f t="shared" si="100"/>
        <v>0.38750360750360746</v>
      </c>
      <c r="BI41" s="75">
        <f t="shared" si="101"/>
        <v>0.6</v>
      </c>
      <c r="BJ41" s="71">
        <f t="shared" si="102"/>
        <v>2</v>
      </c>
      <c r="BK41" s="75">
        <f t="shared" si="103"/>
        <v>0.4</v>
      </c>
      <c r="BL41" s="76">
        <f t="shared" si="104"/>
        <v>28</v>
      </c>
      <c r="BM41" s="77">
        <f t="shared" si="104"/>
        <v>118</v>
      </c>
      <c r="BN41" s="78"/>
      <c r="BO41" s="67"/>
      <c r="BP41" s="67"/>
      <c r="BQ41" s="63"/>
      <c r="BR41" s="63"/>
      <c r="BS41" s="74" t="str">
        <f t="shared" si="108"/>
        <v xml:space="preserve"> </v>
      </c>
      <c r="BT41" s="79">
        <v>0</v>
      </c>
      <c r="BU41" s="79">
        <v>0</v>
      </c>
      <c r="BV41" s="80">
        <v>0</v>
      </c>
      <c r="BW41" s="81">
        <v>0</v>
      </c>
      <c r="BX41" s="78"/>
      <c r="BY41" s="67"/>
      <c r="BZ41" s="67"/>
      <c r="CA41" s="63"/>
      <c r="CB41" s="63"/>
      <c r="CC41" s="74" t="str">
        <f t="shared" si="109"/>
        <v xml:space="preserve"> </v>
      </c>
      <c r="CD41" s="79">
        <v>0</v>
      </c>
      <c r="CE41" s="81">
        <v>0</v>
      </c>
      <c r="CF41" s="85"/>
      <c r="CG41" s="85"/>
      <c r="CH41" s="85"/>
      <c r="CI41" s="78"/>
      <c r="CJ41" s="78"/>
      <c r="CK41" s="74" t="str">
        <f t="shared" si="110"/>
        <v xml:space="preserve"> </v>
      </c>
      <c r="CL41" s="79">
        <v>0</v>
      </c>
      <c r="CM41" s="79">
        <v>0</v>
      </c>
      <c r="CN41" s="86">
        <v>0</v>
      </c>
      <c r="CO41" s="81">
        <v>0</v>
      </c>
      <c r="CP41" s="87"/>
      <c r="CQ41" s="83"/>
      <c r="CR41" s="83"/>
      <c r="CS41" s="82">
        <v>22</v>
      </c>
      <c r="CT41" s="82">
        <v>12</v>
      </c>
      <c r="CU41" s="74">
        <f t="shared" si="111"/>
        <v>0.54545454545454541</v>
      </c>
      <c r="CV41" s="79">
        <v>0</v>
      </c>
      <c r="CW41" s="79">
        <v>10</v>
      </c>
      <c r="CX41" s="88">
        <v>10</v>
      </c>
      <c r="CY41" s="81">
        <v>60</v>
      </c>
      <c r="CZ41" s="89"/>
      <c r="DA41" s="67"/>
      <c r="DB41" s="67"/>
      <c r="DC41" s="78">
        <v>14</v>
      </c>
      <c r="DD41" s="78">
        <v>10</v>
      </c>
      <c r="DE41" s="74">
        <f t="shared" si="112"/>
        <v>0.7142857142857143</v>
      </c>
      <c r="DF41" s="79">
        <v>10</v>
      </c>
      <c r="DG41" s="79">
        <v>8</v>
      </c>
      <c r="DH41" s="79">
        <v>18</v>
      </c>
      <c r="DI41" s="81">
        <v>108</v>
      </c>
      <c r="DJ41" s="89"/>
      <c r="DK41" s="67"/>
      <c r="DL41" s="67"/>
      <c r="DM41" s="78">
        <v>15</v>
      </c>
      <c r="DN41" s="78">
        <v>6</v>
      </c>
      <c r="DO41" s="74">
        <f t="shared" si="113"/>
        <v>0.4</v>
      </c>
      <c r="DP41" s="79">
        <v>0</v>
      </c>
      <c r="DQ41" s="79">
        <v>0</v>
      </c>
      <c r="DR41" s="79">
        <v>0</v>
      </c>
      <c r="DS41" s="81">
        <v>0</v>
      </c>
      <c r="DT41" s="89"/>
      <c r="DU41" s="67"/>
      <c r="DV41" s="67"/>
      <c r="DW41" s="78">
        <v>18</v>
      </c>
      <c r="DX41" s="78">
        <v>5</v>
      </c>
      <c r="DY41" s="74">
        <f t="shared" si="114"/>
        <v>0.27777777777777779</v>
      </c>
      <c r="DZ41" s="90">
        <v>0</v>
      </c>
      <c r="EA41" s="90">
        <v>0</v>
      </c>
      <c r="EB41" s="90">
        <v>0</v>
      </c>
      <c r="EC41" s="91">
        <v>0</v>
      </c>
      <c r="ED41" s="89"/>
      <c r="EE41" s="67"/>
      <c r="EF41" s="67"/>
      <c r="EG41" s="78">
        <v>18</v>
      </c>
      <c r="EH41" s="78">
        <v>0</v>
      </c>
      <c r="EI41" s="74">
        <f t="shared" si="105"/>
        <v>0</v>
      </c>
      <c r="EJ41" s="92">
        <v>0</v>
      </c>
      <c r="EK41" s="92">
        <v>0</v>
      </c>
      <c r="EL41" s="92">
        <v>0</v>
      </c>
      <c r="EM41" s="93">
        <v>0</v>
      </c>
      <c r="EN41" s="89"/>
      <c r="EO41" s="67"/>
      <c r="EP41" s="67"/>
      <c r="EQ41" s="78"/>
      <c r="ER41" s="78"/>
      <c r="ES41" s="74" t="str">
        <f t="shared" si="106"/>
        <v xml:space="preserve"> </v>
      </c>
      <c r="ET41" s="94">
        <v>0</v>
      </c>
      <c r="EU41" s="94"/>
      <c r="EV41" s="94">
        <v>0</v>
      </c>
      <c r="EW41" s="95">
        <v>0</v>
      </c>
      <c r="EX41" s="89"/>
      <c r="EY41" s="67"/>
      <c r="EZ41" s="67"/>
      <c r="FA41" s="78"/>
      <c r="FB41" s="78"/>
      <c r="FC41" s="74" t="str">
        <f t="shared" si="115"/>
        <v xml:space="preserve"> </v>
      </c>
      <c r="FD41" s="94"/>
      <c r="FE41" s="94"/>
      <c r="FF41" s="94"/>
      <c r="FG41" s="94"/>
      <c r="FH41" s="76">
        <f t="shared" si="116"/>
        <v>0</v>
      </c>
      <c r="FI41" s="89"/>
      <c r="FJ41" s="67"/>
      <c r="FK41" s="67"/>
      <c r="FL41" s="78"/>
      <c r="FM41" s="78"/>
      <c r="FN41" s="74" t="str">
        <f t="shared" si="117"/>
        <v xml:space="preserve"> </v>
      </c>
      <c r="FO41" s="94"/>
      <c r="FP41" s="94"/>
      <c r="FQ41" s="94"/>
      <c r="FR41" s="94"/>
      <c r="FS41" s="76">
        <f t="shared" si="118"/>
        <v>0</v>
      </c>
      <c r="FT41" s="89"/>
      <c r="FU41" s="67"/>
      <c r="FV41" s="67"/>
      <c r="FW41" s="78"/>
      <c r="FX41" s="78"/>
      <c r="FY41" s="74" t="str">
        <f t="shared" si="119"/>
        <v xml:space="preserve"> </v>
      </c>
      <c r="FZ41" s="94"/>
      <c r="GA41" s="94"/>
      <c r="GB41" s="94"/>
      <c r="GC41" s="94"/>
      <c r="GD41" s="76">
        <f t="shared" si="120"/>
        <v>0</v>
      </c>
      <c r="GE41" s="63"/>
      <c r="GF41" s="96">
        <v>1</v>
      </c>
      <c r="GG41" s="96" t="s">
        <v>234</v>
      </c>
      <c r="GH41" s="63"/>
      <c r="GI41" s="63" t="s">
        <v>221</v>
      </c>
      <c r="GJ41" s="63" t="s">
        <v>221</v>
      </c>
      <c r="GK41" s="97">
        <f t="shared" si="84"/>
        <v>0</v>
      </c>
      <c r="GL41" s="63" t="s">
        <v>221</v>
      </c>
      <c r="GM41" s="98"/>
      <c r="GN41" s="97">
        <f t="shared" si="121"/>
        <v>0</v>
      </c>
      <c r="GO41" s="97">
        <f t="shared" si="122"/>
        <v>1</v>
      </c>
      <c r="GP41" s="62"/>
      <c r="GQ41" s="63" t="s">
        <v>213</v>
      </c>
      <c r="GR41" s="63" t="s">
        <v>237</v>
      </c>
      <c r="GS41" s="63" t="s">
        <v>213</v>
      </c>
      <c r="GT41" s="63" t="s">
        <v>213</v>
      </c>
      <c r="GU41" s="63" t="s">
        <v>213</v>
      </c>
      <c r="GV41" s="63" t="s">
        <v>213</v>
      </c>
      <c r="GW41" s="63" t="s">
        <v>213</v>
      </c>
      <c r="GX41" s="63" t="s">
        <v>238</v>
      </c>
      <c r="GY41" s="65" t="s">
        <v>237</v>
      </c>
      <c r="GZ41" s="65" t="s">
        <v>237</v>
      </c>
      <c r="HA41" s="63" t="s">
        <v>237</v>
      </c>
      <c r="HB41" s="63" t="s">
        <v>237</v>
      </c>
      <c r="HC41" s="63"/>
      <c r="HD41" s="63"/>
      <c r="HE41" s="63"/>
      <c r="HF41" s="63"/>
      <c r="HG41" s="63" t="s">
        <v>213</v>
      </c>
      <c r="HH41" s="63"/>
      <c r="HI41" s="63"/>
      <c r="HJ41" s="63"/>
      <c r="HK41" s="63"/>
      <c r="HL41" s="65" t="s">
        <v>239</v>
      </c>
      <c r="HM41" s="65" t="str">
        <f t="shared" si="124"/>
        <v>x</v>
      </c>
      <c r="HN41" s="65" t="s">
        <v>239</v>
      </c>
      <c r="HO41" s="65" t="s">
        <v>239</v>
      </c>
      <c r="HP41" s="99" t="str">
        <f t="shared" ref="HP41:HP94" si="130">IFERROR(IF(OR(JI41&gt;0,JJ41&gt;0,JK41&gt;0),"x",""),"")</f>
        <v>x</v>
      </c>
      <c r="HQ41" s="65" t="s">
        <v>239</v>
      </c>
      <c r="HR41" s="63"/>
      <c r="HS41" s="63" t="s">
        <v>213</v>
      </c>
      <c r="HT41" s="63" t="s">
        <v>213</v>
      </c>
      <c r="HU41" s="63" t="s">
        <v>237</v>
      </c>
      <c r="HV41" s="63"/>
      <c r="HW41" s="63"/>
      <c r="HX41" s="63" t="s">
        <v>213</v>
      </c>
      <c r="HY41" s="63"/>
      <c r="HZ41" s="63" t="s">
        <v>239</v>
      </c>
      <c r="IA41" s="63" t="s">
        <v>237</v>
      </c>
      <c r="IB41" s="63"/>
      <c r="IC41" s="63" t="s">
        <v>213</v>
      </c>
      <c r="ID41" s="63" t="s">
        <v>240</v>
      </c>
      <c r="IE41" s="100" t="s">
        <v>213</v>
      </c>
      <c r="IF41" s="100" t="s">
        <v>213</v>
      </c>
      <c r="IG41" s="100" t="s">
        <v>213</v>
      </c>
      <c r="IH41" s="100" t="s">
        <v>213</v>
      </c>
      <c r="II41" s="100" t="s">
        <v>213</v>
      </c>
      <c r="IJ41" s="100" t="s">
        <v>213</v>
      </c>
      <c r="IK41" s="100" t="s">
        <v>213</v>
      </c>
      <c r="IL41" s="63"/>
      <c r="IM41" s="63"/>
      <c r="IN41" s="101"/>
      <c r="IO41" s="101"/>
      <c r="IP41" s="63"/>
      <c r="IQ41" s="63"/>
      <c r="IR41" s="63"/>
      <c r="IS41" s="63"/>
      <c r="IT41" s="63"/>
      <c r="IU41" s="96">
        <v>6.1</v>
      </c>
      <c r="IV41" s="63"/>
      <c r="IW41" s="63"/>
      <c r="IX41" s="63"/>
      <c r="IY41" s="63"/>
      <c r="IZ41" s="63"/>
      <c r="JA41" s="65">
        <f t="shared" si="107"/>
        <v>1</v>
      </c>
      <c r="JB41" s="63"/>
      <c r="JC41" s="101"/>
      <c r="JD41" s="101"/>
      <c r="JE41" s="63"/>
      <c r="JF41" s="63"/>
      <c r="JG41" s="63"/>
      <c r="JH41" s="63"/>
      <c r="JI41" s="63"/>
      <c r="JJ41" s="96">
        <v>4</v>
      </c>
      <c r="JK41" s="63"/>
      <c r="JL41" s="63"/>
      <c r="JM41" s="63"/>
      <c r="JN41" s="63"/>
      <c r="JO41" s="63"/>
      <c r="JP41" s="65">
        <f t="shared" si="29"/>
        <v>1</v>
      </c>
      <c r="JQ41" s="96"/>
      <c r="LM41" s="205"/>
      <c r="LN41" s="102">
        <f>IFERROR(ROWS($IL$8:IL41)," ")</f>
        <v>34</v>
      </c>
      <c r="LO41" s="103" t="str">
        <f>IFERROR(IF([1]Checklist!$C$3='GenInfo (2)'!E41,'GenInfo (2)'!LN41," ")," ")</f>
        <v xml:space="preserve"> </v>
      </c>
      <c r="LP41" s="104" t="str">
        <f>IFERROR(SMALL($LO$8:$LO$94,ROWS($IL$8:IL41))," ")</f>
        <v xml:space="preserve"> </v>
      </c>
      <c r="LQ41" s="102">
        <f>IFERROR(ROWS($IL$8:IL41)," ")</f>
        <v>34</v>
      </c>
      <c r="LR41" s="103" t="str">
        <f>IFERROR(IF([1]Checklist!$C$4='GenInfo (2)'!E41,'GenInfo (2)'!LQ41," ")," ")</f>
        <v xml:space="preserve"> </v>
      </c>
      <c r="LS41" s="104" t="str">
        <f>IFERROR(SMALL($LR$8:$LR$94,ROWS($IL$8:IL41))," ")</f>
        <v xml:space="preserve"> </v>
      </c>
      <c r="LT41" s="102">
        <f>IFERROR(ROWS($IL$8:IL41)," ")</f>
        <v>34</v>
      </c>
      <c r="LU41" s="103" t="str">
        <f>IFERROR(IF([1]Checklist!$C$5='GenInfo (2)'!E41,'GenInfo (2)'!LT41," ")," ")</f>
        <v xml:space="preserve"> </v>
      </c>
      <c r="LV41" s="104" t="str">
        <f>IFERROR(SMALL($LU$8:$LU$94,ROWS($IL$8:IL41))," ")</f>
        <v xml:space="preserve"> </v>
      </c>
      <c r="LW41" s="102">
        <f>IFERROR(ROWS($IL$8:IL41)," ")</f>
        <v>34</v>
      </c>
      <c r="LX41" s="103" t="str">
        <f>IFERROR(IF([1]Checklist!$C$6='GenInfo (2)'!E41,'GenInfo (2)'!LW41," ")," ")</f>
        <v xml:space="preserve"> </v>
      </c>
      <c r="LY41" s="104" t="str">
        <f>IFERROR(SMALL($LX$8:$LX$94,ROWS($IL$8:IL41))," ")</f>
        <v xml:space="preserve"> </v>
      </c>
      <c r="LZ41" s="102">
        <f>IFERROR(ROWS($IL$8:IL41)," ")</f>
        <v>34</v>
      </c>
      <c r="MA41" s="103" t="str">
        <f>IFERROR(IF([1]Checklist!$C$7='GenInfo (2)'!E41,'GenInfo (2)'!LZ41," ")," ")</f>
        <v xml:space="preserve"> </v>
      </c>
      <c r="MB41" s="104" t="str">
        <f>IFERROR(SMALL($MA$8:$MA$94,ROWS($IL$8:IL41))," ")</f>
        <v xml:space="preserve"> </v>
      </c>
      <c r="MC41" s="102">
        <f>IFERROR(ROWS($IL$8:IL41)," ")</f>
        <v>34</v>
      </c>
      <c r="MD41" s="103" t="str">
        <f>IFERROR(IF([1]Checklist!$C$8='GenInfo (2)'!E41,'GenInfo (2)'!MC41," ")," ")</f>
        <v xml:space="preserve"> </v>
      </c>
      <c r="ME41" s="104" t="str">
        <f>IFERROR(SMALL($MD$8:$MD$94,ROWS($IL$8:IL41))," ")</f>
        <v xml:space="preserve"> </v>
      </c>
      <c r="MF41" s="102">
        <f>IFERROR(ROWS($IL$8:IL41)," ")</f>
        <v>34</v>
      </c>
      <c r="MG41" s="103" t="str">
        <f>IFERROR(IF([1]Checklist!$C$9='GenInfo (2)'!E41,'GenInfo (2)'!MF41," ")," ")</f>
        <v xml:space="preserve"> </v>
      </c>
      <c r="MH41" s="104" t="str">
        <f>IFERROR(SMALL($MG$8:$MG$94,ROWS($IL$8:IL41))," ")</f>
        <v xml:space="preserve"> </v>
      </c>
      <c r="MI41" s="102">
        <f>IFERROR(ROWS($IL$8:$IL41)," ")</f>
        <v>34</v>
      </c>
      <c r="MJ41" s="103" t="str">
        <f>IFERROR(IF([1]Checklist!$C$10='GenInfo (2)'!E41,'GenInfo (2)'!MI41," ")," ")</f>
        <v xml:space="preserve"> </v>
      </c>
      <c r="MK41" s="104" t="str">
        <f>IFERROR(SMALL($MJ$8:$MJ$94,ROWS($IL$8:IL41))," ")</f>
        <v xml:space="preserve"> </v>
      </c>
      <c r="ML41" s="102">
        <f>IFERROR(ROWS($IL$8:IL41)," ")</f>
        <v>34</v>
      </c>
      <c r="MM41" s="103" t="str">
        <f>IFERROR(IF([1]Checklist!$C$11='GenInfo (2)'!E41,'GenInfo (2)'!ML41," ")," ")</f>
        <v xml:space="preserve"> </v>
      </c>
      <c r="MN41" s="104" t="str">
        <f>IFERROR(SMALL($MM$8:$MM$94,ROWS($IL$8:IL41))," ")</f>
        <v xml:space="preserve"> </v>
      </c>
      <c r="MO41" s="102">
        <f>IFERROR(ROWS($IL$8:IL41)," ")</f>
        <v>34</v>
      </c>
      <c r="MP41" s="103" t="str">
        <f>IFERROR(IF([1]Checklist!$C$12='GenInfo (2)'!E41,'GenInfo (2)'!MO41," ")," ")</f>
        <v xml:space="preserve"> </v>
      </c>
      <c r="MQ41" s="104" t="str">
        <f>IFERROR(SMALL($MP$8:$MP$94,ROWS($IL$8:IL41))," ")</f>
        <v xml:space="preserve"> </v>
      </c>
      <c r="MR41" s="102">
        <f>IFERROR(ROWS($IL$8:IL41)," ")</f>
        <v>34</v>
      </c>
      <c r="MS41" s="103" t="str">
        <f>IFERROR(IF([1]Checklist!$C$13='GenInfo (2)'!E41,'GenInfo (2)'!MR41," ")," ")</f>
        <v xml:space="preserve"> </v>
      </c>
      <c r="MT41" s="104" t="str">
        <f>IFERROR(SMALL($MS$8:$MS$94,ROWS($IL$8:IL41))," ")</f>
        <v xml:space="preserve"> </v>
      </c>
      <c r="MU41" s="102">
        <f>IFERROR(ROWS($IL$8:IL41)," ")</f>
        <v>34</v>
      </c>
      <c r="MV41" s="103" t="str">
        <f>IFERROR(IF([1]Checklist!$C$14='GenInfo (2)'!E41,'GenInfo (2)'!MU41," ")," ")</f>
        <v xml:space="preserve"> </v>
      </c>
      <c r="MW41" s="104" t="str">
        <f>IFERROR(SMALL($MV$8:$MV$94,ROWS($IL$8:IL41))," ")</f>
        <v xml:space="preserve"> </v>
      </c>
      <c r="MX41" s="102">
        <f>IFERROR(ROWS($IL$8:IL41)," ")</f>
        <v>34</v>
      </c>
      <c r="MY41" s="103">
        <f>IFERROR(IF([1]Checklist!$C$15='GenInfo (2)'!E41,'GenInfo (2)'!MX41," ")," ")</f>
        <v>34</v>
      </c>
      <c r="MZ41" s="104" t="str">
        <f>IFERROR(SMALL($MY$8:$MY$94,ROWS($IL$8:IL41))," ")</f>
        <v xml:space="preserve"> </v>
      </c>
      <c r="NA41" s="102">
        <f>IFERROR(ROWS($IL$8:IL41)," ")</f>
        <v>34</v>
      </c>
      <c r="NB41" s="103" t="str">
        <f>IFERROR(IF([1]Checklist!$C$16='GenInfo (2)'!E41,'GenInfo (2)'!NA41," ")," ")</f>
        <v xml:space="preserve"> </v>
      </c>
      <c r="NC41" s="104" t="str">
        <f>IFERROR(SMALL($NB$8:$NB$94,ROWS($IL$8:IL41))," ")</f>
        <v xml:space="preserve"> </v>
      </c>
      <c r="ND41" s="102">
        <f>IFERROR(ROWS($IL$8:IL41)," ")</f>
        <v>34</v>
      </c>
      <c r="NE41" s="103" t="str">
        <f>IFERROR(IF([1]Checklist!$C$17='GenInfo (2)'!E41,'GenInfo (2)'!ND41," ")," ")</f>
        <v xml:space="preserve"> </v>
      </c>
      <c r="NF41" s="104" t="str">
        <f>IFERROR(SMALL($NE$8:$NE$94,ROWS($IL$8:IL41))," ")</f>
        <v xml:space="preserve"> </v>
      </c>
    </row>
    <row r="42" spans="1:370" ht="14.25" x14ac:dyDescent="0.45">
      <c r="A42" s="37" t="s">
        <v>213</v>
      </c>
      <c r="B42" s="37">
        <v>228</v>
      </c>
      <c r="C42" s="146" t="s">
        <v>583</v>
      </c>
      <c r="D42" t="s">
        <v>584</v>
      </c>
      <c r="E42" s="106" t="s">
        <v>573</v>
      </c>
      <c r="F42" s="96">
        <v>99986685</v>
      </c>
      <c r="G42" s="107" t="s">
        <v>218</v>
      </c>
      <c r="H42" s="96"/>
      <c r="I42" s="131" t="s">
        <v>585</v>
      </c>
      <c r="J42" s="96" t="s">
        <v>586</v>
      </c>
      <c r="K42" s="111"/>
      <c r="L42" s="108">
        <v>43713</v>
      </c>
      <c r="M42" s="108">
        <v>43713</v>
      </c>
      <c r="N42" s="108" t="s">
        <v>213</v>
      </c>
      <c r="O42" s="109">
        <v>43709</v>
      </c>
      <c r="P42" s="108">
        <v>43713</v>
      </c>
      <c r="Q42" s="108">
        <v>43713</v>
      </c>
      <c r="R42" s="96" t="s">
        <v>297</v>
      </c>
      <c r="S42" s="108"/>
      <c r="T42" s="96"/>
      <c r="U42" s="111"/>
      <c r="V42" s="108">
        <v>43731</v>
      </c>
      <c r="W42" s="63" t="s">
        <v>222</v>
      </c>
      <c r="X42" s="110"/>
      <c r="Y42" s="108"/>
      <c r="Z42" s="110"/>
      <c r="AA42" s="62"/>
      <c r="AB42" s="96" t="s">
        <v>587</v>
      </c>
      <c r="AC42" s="96" t="s">
        <v>588</v>
      </c>
      <c r="AD42" s="96" t="s">
        <v>589</v>
      </c>
      <c r="AE42" s="96" t="s">
        <v>590</v>
      </c>
      <c r="AF42" s="96" t="s">
        <v>591</v>
      </c>
      <c r="AG42" s="96"/>
      <c r="AH42" s="96" t="s">
        <v>251</v>
      </c>
      <c r="AI42" s="96" t="s">
        <v>230</v>
      </c>
      <c r="AJ42" s="96">
        <v>60653</v>
      </c>
      <c r="AK42" s="62"/>
      <c r="AL42" s="71">
        <f t="shared" si="95"/>
        <v>16</v>
      </c>
      <c r="AM42" s="71">
        <f t="shared" ca="1" si="129"/>
        <v>18</v>
      </c>
      <c r="AN42" s="108">
        <v>37775</v>
      </c>
      <c r="AO42" s="72">
        <f t="shared" ca="1" si="97"/>
        <v>28</v>
      </c>
      <c r="AP42" s="108" t="s">
        <v>231</v>
      </c>
      <c r="AQ42" s="73" t="s">
        <v>264</v>
      </c>
      <c r="AR42" s="107" t="s">
        <v>233</v>
      </c>
      <c r="AS42" s="96">
        <v>1</v>
      </c>
      <c r="AT42" s="96"/>
      <c r="AU42" s="96">
        <v>14</v>
      </c>
      <c r="AV42" s="96"/>
      <c r="AW42" s="96">
        <v>7</v>
      </c>
      <c r="AX42" s="96" t="s">
        <v>234</v>
      </c>
      <c r="AY42" s="96" t="s">
        <v>290</v>
      </c>
      <c r="AZ42" s="96" t="s">
        <v>235</v>
      </c>
      <c r="BA42" s="96" t="s">
        <v>235</v>
      </c>
      <c r="BB42" s="96"/>
      <c r="BC42" s="96"/>
      <c r="BD42" s="62"/>
      <c r="BE42" s="71">
        <f t="shared" si="98"/>
        <v>5</v>
      </c>
      <c r="BF42" s="71">
        <f t="shared" si="98"/>
        <v>5</v>
      </c>
      <c r="BG42" s="71">
        <f t="shared" si="99"/>
        <v>0</v>
      </c>
      <c r="BH42" s="74">
        <f t="shared" si="100"/>
        <v>0.93647058823529394</v>
      </c>
      <c r="BI42" s="75">
        <f t="shared" si="101"/>
        <v>0</v>
      </c>
      <c r="BJ42" s="71">
        <f t="shared" si="102"/>
        <v>6</v>
      </c>
      <c r="BK42" s="75">
        <f t="shared" si="103"/>
        <v>1.2</v>
      </c>
      <c r="BL42" s="76">
        <f t="shared" si="104"/>
        <v>106</v>
      </c>
      <c r="BM42" s="77">
        <f t="shared" si="104"/>
        <v>598</v>
      </c>
      <c r="BN42" s="114"/>
      <c r="BO42" s="108"/>
      <c r="BP42" s="108"/>
      <c r="BQ42" s="96"/>
      <c r="BR42" s="96"/>
      <c r="BS42" s="74" t="str">
        <f t="shared" si="108"/>
        <v xml:space="preserve"> </v>
      </c>
      <c r="BT42" s="79">
        <v>0</v>
      </c>
      <c r="BU42" s="79">
        <v>0</v>
      </c>
      <c r="BV42" s="80">
        <v>0</v>
      </c>
      <c r="BW42" s="81">
        <v>0</v>
      </c>
      <c r="BX42" s="114"/>
      <c r="BY42" s="108"/>
      <c r="BZ42" s="108"/>
      <c r="CA42" s="96"/>
      <c r="CB42" s="96"/>
      <c r="CC42" s="74" t="str">
        <f t="shared" si="109"/>
        <v xml:space="preserve"> </v>
      </c>
      <c r="CD42" s="79">
        <v>0</v>
      </c>
      <c r="CE42" s="81">
        <v>0</v>
      </c>
      <c r="CF42" s="119"/>
      <c r="CG42" s="119"/>
      <c r="CH42" s="119"/>
      <c r="CI42" s="114">
        <v>5</v>
      </c>
      <c r="CJ42" s="114">
        <v>5</v>
      </c>
      <c r="CK42" s="74">
        <f t="shared" si="110"/>
        <v>1</v>
      </c>
      <c r="CL42" s="79">
        <v>0</v>
      </c>
      <c r="CM42" s="79">
        <v>2</v>
      </c>
      <c r="CN42" s="86">
        <v>2</v>
      </c>
      <c r="CO42" s="81">
        <v>12</v>
      </c>
      <c r="CP42" s="120"/>
      <c r="CQ42" s="121"/>
      <c r="CR42" s="121"/>
      <c r="CS42" s="116"/>
      <c r="CT42" s="116"/>
      <c r="CU42" s="74" t="str">
        <f t="shared" si="111"/>
        <v xml:space="preserve"> </v>
      </c>
      <c r="CV42" s="79">
        <v>12</v>
      </c>
      <c r="CW42" s="79">
        <v>10</v>
      </c>
      <c r="CX42" s="88">
        <v>22</v>
      </c>
      <c r="CY42" s="81">
        <v>132</v>
      </c>
      <c r="CZ42" s="122"/>
      <c r="DA42" s="108"/>
      <c r="DB42" s="108"/>
      <c r="DC42" s="114">
        <v>15</v>
      </c>
      <c r="DD42" s="114">
        <v>13</v>
      </c>
      <c r="DE42" s="74">
        <f t="shared" si="112"/>
        <v>0.8666666666666667</v>
      </c>
      <c r="DF42" s="79">
        <v>12</v>
      </c>
      <c r="DG42" s="79">
        <v>8</v>
      </c>
      <c r="DH42" s="79">
        <v>20</v>
      </c>
      <c r="DI42" s="81">
        <v>120</v>
      </c>
      <c r="DJ42" s="122"/>
      <c r="DK42" s="108"/>
      <c r="DL42" s="108"/>
      <c r="DM42" s="114">
        <v>15</v>
      </c>
      <c r="DN42" s="114">
        <v>14</v>
      </c>
      <c r="DO42" s="74">
        <f t="shared" si="113"/>
        <v>0.93333333333333335</v>
      </c>
      <c r="DP42" s="79">
        <v>14</v>
      </c>
      <c r="DQ42" s="79">
        <v>8</v>
      </c>
      <c r="DR42" s="79">
        <v>22</v>
      </c>
      <c r="DS42" s="81">
        <v>132</v>
      </c>
      <c r="DT42" s="122"/>
      <c r="DU42" s="108"/>
      <c r="DV42" s="108"/>
      <c r="DW42" s="114">
        <v>17</v>
      </c>
      <c r="DX42" s="114">
        <v>15</v>
      </c>
      <c r="DY42" s="74">
        <f t="shared" si="114"/>
        <v>0.88235294117647056</v>
      </c>
      <c r="DZ42" s="90">
        <v>14</v>
      </c>
      <c r="EA42" s="90">
        <v>14</v>
      </c>
      <c r="EB42" s="90">
        <v>28</v>
      </c>
      <c r="EC42" s="91">
        <v>168</v>
      </c>
      <c r="ED42" s="122"/>
      <c r="EE42" s="108"/>
      <c r="EF42" s="108"/>
      <c r="EG42" s="114">
        <v>17</v>
      </c>
      <c r="EH42" s="114">
        <v>17</v>
      </c>
      <c r="EI42" s="74">
        <f t="shared" si="105"/>
        <v>1</v>
      </c>
      <c r="EJ42" s="92">
        <v>12</v>
      </c>
      <c r="EK42" s="92">
        <v>12</v>
      </c>
      <c r="EL42" s="92">
        <v>24</v>
      </c>
      <c r="EM42" s="93">
        <v>144</v>
      </c>
      <c r="EN42" s="122"/>
      <c r="EO42" s="108"/>
      <c r="EP42" s="108"/>
      <c r="EQ42" s="114"/>
      <c r="ER42" s="114"/>
      <c r="ES42" s="74" t="str">
        <f t="shared" si="106"/>
        <v xml:space="preserve"> </v>
      </c>
      <c r="ET42" s="94">
        <v>0</v>
      </c>
      <c r="EU42" s="90"/>
      <c r="EV42" s="94">
        <v>0</v>
      </c>
      <c r="EW42" s="95">
        <v>0</v>
      </c>
      <c r="EX42" s="122"/>
      <c r="EY42" s="108"/>
      <c r="EZ42" s="108"/>
      <c r="FA42" s="114"/>
      <c r="FB42" s="114"/>
      <c r="FC42" s="74" t="str">
        <f t="shared" si="115"/>
        <v xml:space="preserve"> </v>
      </c>
      <c r="FD42" s="90"/>
      <c r="FE42" s="90"/>
      <c r="FF42" s="90"/>
      <c r="FG42" s="90"/>
      <c r="FH42" s="76">
        <f t="shared" si="116"/>
        <v>0</v>
      </c>
      <c r="FI42" s="122"/>
      <c r="FJ42" s="108"/>
      <c r="FK42" s="108"/>
      <c r="FL42" s="114"/>
      <c r="FM42" s="114"/>
      <c r="FN42" s="74" t="str">
        <f t="shared" si="117"/>
        <v xml:space="preserve"> </v>
      </c>
      <c r="FO42" s="90"/>
      <c r="FP42" s="90"/>
      <c r="FQ42" s="90"/>
      <c r="FR42" s="90"/>
      <c r="FS42" s="76">
        <f t="shared" si="118"/>
        <v>0</v>
      </c>
      <c r="FT42" s="122"/>
      <c r="FU42" s="108"/>
      <c r="FV42" s="108"/>
      <c r="FW42" s="114"/>
      <c r="FX42" s="114"/>
      <c r="FY42" s="74" t="str">
        <f t="shared" si="119"/>
        <v xml:space="preserve"> </v>
      </c>
      <c r="FZ42" s="90"/>
      <c r="GA42" s="90"/>
      <c r="GB42" s="90"/>
      <c r="GC42" s="90"/>
      <c r="GD42" s="76">
        <f t="shared" si="120"/>
        <v>0</v>
      </c>
      <c r="GE42" s="96"/>
      <c r="GF42" s="96">
        <v>3.5</v>
      </c>
      <c r="GG42" s="96" t="s">
        <v>234</v>
      </c>
      <c r="GH42" s="96"/>
      <c r="GI42" s="63"/>
      <c r="GJ42" s="63">
        <v>1.5</v>
      </c>
      <c r="GK42" s="97">
        <f t="shared" si="84"/>
        <v>1.5</v>
      </c>
      <c r="GL42" s="63">
        <v>0</v>
      </c>
      <c r="GM42" s="79"/>
      <c r="GN42" s="97">
        <f t="shared" si="121"/>
        <v>0</v>
      </c>
      <c r="GO42" s="97">
        <f t="shared" si="122"/>
        <v>5</v>
      </c>
      <c r="GP42" s="62"/>
      <c r="GQ42" s="96" t="s">
        <v>459</v>
      </c>
      <c r="GR42" s="96" t="s">
        <v>213</v>
      </c>
      <c r="GS42" s="96" t="s">
        <v>213</v>
      </c>
      <c r="GT42" s="96" t="s">
        <v>237</v>
      </c>
      <c r="GU42" s="96" t="s">
        <v>237</v>
      </c>
      <c r="GV42" s="96" t="s">
        <v>213</v>
      </c>
      <c r="GW42" s="96" t="s">
        <v>213</v>
      </c>
      <c r="GX42" s="96" t="s">
        <v>213</v>
      </c>
      <c r="GY42" s="65" t="str">
        <f>IFERROR(IF(IN42&gt;0,"X",""),"")</f>
        <v>X</v>
      </c>
      <c r="GZ42" s="65" t="str">
        <f>IFERROR(IF(JC42&gt;0,"X",""),"")</f>
        <v>X</v>
      </c>
      <c r="HA42" s="96" t="s">
        <v>213</v>
      </c>
      <c r="HB42" s="96" t="s">
        <v>213</v>
      </c>
      <c r="HC42" s="96"/>
      <c r="HD42" s="96"/>
      <c r="HE42" s="96"/>
      <c r="HF42" s="96"/>
      <c r="HG42" s="96" t="s">
        <v>213</v>
      </c>
      <c r="HH42" s="96"/>
      <c r="HI42" s="96"/>
      <c r="HJ42" s="96"/>
      <c r="HK42" s="96"/>
      <c r="HL42" s="65" t="str">
        <f t="shared" ref="HL42:HL44" si="131">IFERROR(IF(OR(IQ42&gt;0,IR42&gt;0,IS42&gt;0),"x",""),"")</f>
        <v>x</v>
      </c>
      <c r="HM42" s="65" t="str">
        <f t="shared" si="124"/>
        <v>x</v>
      </c>
      <c r="HN42" s="65" t="s">
        <v>239</v>
      </c>
      <c r="HO42" s="65" t="str">
        <f t="shared" ref="HO42:HO44" si="132">IFERROR(IF(OR(JE42&gt;0,JF42&gt;0,JG42&gt;0,JH42&gt;0),"x",""),"")</f>
        <v>x</v>
      </c>
      <c r="HP42" s="65" t="str">
        <f t="shared" si="130"/>
        <v>x</v>
      </c>
      <c r="HQ42" s="65" t="s">
        <v>239</v>
      </c>
      <c r="HR42" s="96"/>
      <c r="HS42" s="96" t="s">
        <v>213</v>
      </c>
      <c r="HT42" s="96" t="s">
        <v>213</v>
      </c>
      <c r="HU42" s="96" t="s">
        <v>237</v>
      </c>
      <c r="HV42" s="96"/>
      <c r="HW42" s="96"/>
      <c r="HX42" s="96" t="s">
        <v>213</v>
      </c>
      <c r="HY42" s="96"/>
      <c r="HZ42" s="63" t="s">
        <v>239</v>
      </c>
      <c r="IA42" s="63" t="s">
        <v>237</v>
      </c>
      <c r="IB42" s="96"/>
      <c r="IC42" s="96" t="s">
        <v>213</v>
      </c>
      <c r="ID42" s="63" t="s">
        <v>240</v>
      </c>
      <c r="IE42" s="100" t="s">
        <v>213</v>
      </c>
      <c r="IF42" s="100" t="s">
        <v>213</v>
      </c>
      <c r="IG42" s="100" t="s">
        <v>213</v>
      </c>
      <c r="IH42" s="100" t="s">
        <v>213</v>
      </c>
      <c r="II42" s="100" t="s">
        <v>213</v>
      </c>
      <c r="IJ42" s="100" t="s">
        <v>213</v>
      </c>
      <c r="IK42" s="100" t="s">
        <v>213</v>
      </c>
      <c r="IL42" s="96"/>
      <c r="IM42" s="96"/>
      <c r="IN42" s="125">
        <v>1.6</v>
      </c>
      <c r="IO42" s="125"/>
      <c r="IP42" s="96"/>
      <c r="IQ42" s="96">
        <v>1.6</v>
      </c>
      <c r="IR42" s="96"/>
      <c r="IS42" s="96"/>
      <c r="IT42" s="96"/>
      <c r="IU42" s="96">
        <v>3.1</v>
      </c>
      <c r="IV42" s="96"/>
      <c r="IW42" s="96"/>
      <c r="IX42" s="96"/>
      <c r="IY42" s="96"/>
      <c r="IZ42" s="96"/>
      <c r="JA42" s="65">
        <f t="shared" si="107"/>
        <v>2</v>
      </c>
      <c r="JB42" s="96">
        <f>IU42-IQ42</f>
        <v>1.5</v>
      </c>
      <c r="JC42" s="125">
        <v>4</v>
      </c>
      <c r="JD42" s="125"/>
      <c r="JE42" s="96"/>
      <c r="JF42" s="96">
        <v>4</v>
      </c>
      <c r="JG42" s="96"/>
      <c r="JH42" s="96"/>
      <c r="JI42" s="96"/>
      <c r="JJ42" s="96">
        <v>2.9</v>
      </c>
      <c r="JK42" s="96"/>
      <c r="JL42" s="96"/>
      <c r="JM42" s="63"/>
      <c r="JN42" s="63"/>
      <c r="JO42" s="63"/>
      <c r="JP42" s="65">
        <f t="shared" si="29"/>
        <v>2</v>
      </c>
      <c r="JQ42" s="63"/>
      <c r="LM42" s="205"/>
      <c r="LN42" s="102">
        <f>IFERROR(ROWS($IL$8:IL42)," ")</f>
        <v>35</v>
      </c>
      <c r="LO42" s="103" t="str">
        <f>IFERROR(IF([1]Checklist!$C$3='GenInfo (2)'!E42,'GenInfo (2)'!LN42," ")," ")</f>
        <v xml:space="preserve"> </v>
      </c>
      <c r="LP42" s="104" t="str">
        <f>IFERROR(SMALL($LO$8:$LO$94,ROWS($IL$8:IL42))," ")</f>
        <v xml:space="preserve"> </v>
      </c>
      <c r="LQ42" s="102">
        <f>IFERROR(ROWS($IL$8:IL42)," ")</f>
        <v>35</v>
      </c>
      <c r="LR42" s="103" t="str">
        <f>IFERROR(IF([1]Checklist!$C$4='GenInfo (2)'!E42,'GenInfo (2)'!LQ42," ")," ")</f>
        <v xml:space="preserve"> </v>
      </c>
      <c r="LS42" s="104" t="str">
        <f>IFERROR(SMALL($LR$8:$LR$94,ROWS($IL$8:IL42))," ")</f>
        <v xml:space="preserve"> </v>
      </c>
      <c r="LT42" s="102">
        <f>IFERROR(ROWS($IL$8:IL42)," ")</f>
        <v>35</v>
      </c>
      <c r="LU42" s="103" t="str">
        <f>IFERROR(IF([1]Checklist!$C$5='GenInfo (2)'!E42,'GenInfo (2)'!LT42," ")," ")</f>
        <v xml:space="preserve"> </v>
      </c>
      <c r="LV42" s="104" t="str">
        <f>IFERROR(SMALL($LU$8:$LU$94,ROWS($IL$8:IL42))," ")</f>
        <v xml:space="preserve"> </v>
      </c>
      <c r="LW42" s="102">
        <f>IFERROR(ROWS($IL$8:IL42)," ")</f>
        <v>35</v>
      </c>
      <c r="LX42" s="103" t="str">
        <f>IFERROR(IF([1]Checklist!$C$6='GenInfo (2)'!E42,'GenInfo (2)'!LW42," ")," ")</f>
        <v xml:space="preserve"> </v>
      </c>
      <c r="LY42" s="104" t="str">
        <f>IFERROR(SMALL($LX$8:$LX$94,ROWS($IL$8:IL42))," ")</f>
        <v xml:space="preserve"> </v>
      </c>
      <c r="LZ42" s="102">
        <f>IFERROR(ROWS($IL$8:IL42)," ")</f>
        <v>35</v>
      </c>
      <c r="MA42" s="103" t="str">
        <f>IFERROR(IF([1]Checklist!$C$7='GenInfo (2)'!E42,'GenInfo (2)'!LZ42," ")," ")</f>
        <v xml:space="preserve"> </v>
      </c>
      <c r="MB42" s="104" t="str">
        <f>IFERROR(SMALL($MA$8:$MA$94,ROWS($IL$8:IL42))," ")</f>
        <v xml:space="preserve"> </v>
      </c>
      <c r="MC42" s="102">
        <f>IFERROR(ROWS($IL$8:IL42)," ")</f>
        <v>35</v>
      </c>
      <c r="MD42" s="103" t="str">
        <f>IFERROR(IF([1]Checklist!$C$8='GenInfo (2)'!E42,'GenInfo (2)'!MC42," ")," ")</f>
        <v xml:space="preserve"> </v>
      </c>
      <c r="ME42" s="104" t="str">
        <f>IFERROR(SMALL($MD$8:$MD$94,ROWS($IL$8:IL42))," ")</f>
        <v xml:space="preserve"> </v>
      </c>
      <c r="MF42" s="102">
        <f>IFERROR(ROWS($IL$8:IL42)," ")</f>
        <v>35</v>
      </c>
      <c r="MG42" s="103" t="str">
        <f>IFERROR(IF([1]Checklist!$C$9='GenInfo (2)'!E42,'GenInfo (2)'!MF42," ")," ")</f>
        <v xml:space="preserve"> </v>
      </c>
      <c r="MH42" s="104" t="str">
        <f>IFERROR(SMALL($MG$8:$MG$94,ROWS($IL$8:IL42))," ")</f>
        <v xml:space="preserve"> </v>
      </c>
      <c r="MI42" s="102">
        <f>IFERROR(ROWS($IL$8:$IL42)," ")</f>
        <v>35</v>
      </c>
      <c r="MJ42" s="103" t="str">
        <f>IFERROR(IF([1]Checklist!$C$10='GenInfo (2)'!E42,'GenInfo (2)'!MI42," ")," ")</f>
        <v xml:space="preserve"> </v>
      </c>
      <c r="MK42" s="104" t="str">
        <f>IFERROR(SMALL($MJ$8:$MJ$94,ROWS($IL$8:IL42))," ")</f>
        <v xml:space="preserve"> </v>
      </c>
      <c r="ML42" s="102">
        <f>IFERROR(ROWS($IL$8:IL42)," ")</f>
        <v>35</v>
      </c>
      <c r="MM42" s="103" t="str">
        <f>IFERROR(IF([1]Checklist!$C$11='GenInfo (2)'!E42,'GenInfo (2)'!ML42," ")," ")</f>
        <v xml:space="preserve"> </v>
      </c>
      <c r="MN42" s="104" t="str">
        <f>IFERROR(SMALL($MM$8:$MM$94,ROWS($IL$8:IL42))," ")</f>
        <v xml:space="preserve"> </v>
      </c>
      <c r="MO42" s="102">
        <f>IFERROR(ROWS($IL$8:IL42)," ")</f>
        <v>35</v>
      </c>
      <c r="MP42" s="103" t="str">
        <f>IFERROR(IF([1]Checklist!$C$12='GenInfo (2)'!E42,'GenInfo (2)'!MO42," ")," ")</f>
        <v xml:space="preserve"> </v>
      </c>
      <c r="MQ42" s="104" t="str">
        <f>IFERROR(SMALL($MP$8:$MP$94,ROWS($IL$8:IL42))," ")</f>
        <v xml:space="preserve"> </v>
      </c>
      <c r="MR42" s="102">
        <f>IFERROR(ROWS($IL$8:IL42)," ")</f>
        <v>35</v>
      </c>
      <c r="MS42" s="103" t="str">
        <f>IFERROR(IF([1]Checklist!$C$13='GenInfo (2)'!E42,'GenInfo (2)'!MR42," ")," ")</f>
        <v xml:space="preserve"> </v>
      </c>
      <c r="MT42" s="104" t="str">
        <f>IFERROR(SMALL($MS$8:$MS$94,ROWS($IL$8:IL42))," ")</f>
        <v xml:space="preserve"> </v>
      </c>
      <c r="MU42" s="102">
        <f>IFERROR(ROWS($IL$8:IL42)," ")</f>
        <v>35</v>
      </c>
      <c r="MV42" s="103" t="str">
        <f>IFERROR(IF([1]Checklist!$C$14='GenInfo (2)'!E42,'GenInfo (2)'!MU42," ")," ")</f>
        <v xml:space="preserve"> </v>
      </c>
      <c r="MW42" s="104" t="str">
        <f>IFERROR(SMALL($MV$8:$MV$94,ROWS($IL$8:IL42))," ")</f>
        <v xml:space="preserve"> </v>
      </c>
      <c r="MX42" s="102">
        <f>IFERROR(ROWS($IL$8:IL42)," ")</f>
        <v>35</v>
      </c>
      <c r="MY42" s="103">
        <f>IFERROR(IF([1]Checklist!$C$15='GenInfo (2)'!E42,'GenInfo (2)'!MX42," ")," ")</f>
        <v>35</v>
      </c>
      <c r="MZ42" s="104" t="str">
        <f>IFERROR(SMALL($MY$8:$MY$94,ROWS($IL$8:IL42))," ")</f>
        <v xml:space="preserve"> </v>
      </c>
      <c r="NA42" s="102">
        <f>IFERROR(ROWS($IL$8:IL42)," ")</f>
        <v>35</v>
      </c>
      <c r="NB42" s="103" t="str">
        <f>IFERROR(IF([1]Checklist!$C$16='GenInfo (2)'!E42,'GenInfo (2)'!NA42," ")," ")</f>
        <v xml:space="preserve"> </v>
      </c>
      <c r="NC42" s="104" t="str">
        <f>IFERROR(SMALL($NB$8:$NB$94,ROWS($IL$8:IL42))," ")</f>
        <v xml:space="preserve"> </v>
      </c>
      <c r="ND42" s="102">
        <f>IFERROR(ROWS($IL$8:IL42)," ")</f>
        <v>35</v>
      </c>
      <c r="NE42" s="103" t="str">
        <f>IFERROR(IF([1]Checklist!$C$17='GenInfo (2)'!E42,'GenInfo (2)'!ND42," ")," ")</f>
        <v xml:space="preserve"> </v>
      </c>
      <c r="NF42" s="104" t="str">
        <f>IFERROR(SMALL($NE$8:$NE$94,ROWS($IL$8:IL42))," ")</f>
        <v xml:space="preserve"> </v>
      </c>
    </row>
    <row r="43" spans="1:370" ht="14.25" x14ac:dyDescent="0.45">
      <c r="A43" s="37" t="s">
        <v>213</v>
      </c>
      <c r="B43" s="37">
        <v>231</v>
      </c>
      <c r="C43" s="146" t="s">
        <v>592</v>
      </c>
      <c r="D43" t="s">
        <v>593</v>
      </c>
      <c r="E43" s="64" t="s">
        <v>573</v>
      </c>
      <c r="F43" s="63" t="s">
        <v>594</v>
      </c>
      <c r="G43" s="64" t="s">
        <v>218</v>
      </c>
      <c r="H43" s="63"/>
      <c r="I43" s="137" t="s">
        <v>595</v>
      </c>
      <c r="J43" s="63" t="s">
        <v>596</v>
      </c>
      <c r="K43" s="62"/>
      <c r="L43" s="67">
        <v>43854</v>
      </c>
      <c r="M43" s="67">
        <v>43854</v>
      </c>
      <c r="N43" s="67" t="s">
        <v>213</v>
      </c>
      <c r="O43" s="68">
        <v>43862</v>
      </c>
      <c r="P43" s="67">
        <v>43885</v>
      </c>
      <c r="Q43" s="67">
        <v>43914</v>
      </c>
      <c r="R43" s="63"/>
      <c r="S43" s="67"/>
      <c r="T43" s="63"/>
      <c r="U43" s="62"/>
      <c r="V43" s="67">
        <v>43894</v>
      </c>
      <c r="W43" s="63" t="s">
        <v>222</v>
      </c>
      <c r="X43" s="69"/>
      <c r="Y43" s="63"/>
      <c r="Z43" s="69"/>
      <c r="AA43" s="62"/>
      <c r="AB43" s="63" t="s">
        <v>597</v>
      </c>
      <c r="AC43" s="63" t="s">
        <v>598</v>
      </c>
      <c r="AD43" s="63"/>
      <c r="AE43" s="63" t="s">
        <v>580</v>
      </c>
      <c r="AF43" s="63" t="s">
        <v>599</v>
      </c>
      <c r="AG43" s="63"/>
      <c r="AH43" s="63" t="s">
        <v>582</v>
      </c>
      <c r="AI43" s="63" t="s">
        <v>600</v>
      </c>
      <c r="AJ43" s="63">
        <v>60466</v>
      </c>
      <c r="AK43" s="62"/>
      <c r="AL43" s="71">
        <f t="shared" si="95"/>
        <v>18</v>
      </c>
      <c r="AM43" s="71">
        <f t="shared" ca="1" si="129"/>
        <v>20</v>
      </c>
      <c r="AN43" s="67">
        <v>37022</v>
      </c>
      <c r="AO43" s="72">
        <f t="shared" ca="1" si="97"/>
        <v>3</v>
      </c>
      <c r="AP43" s="63" t="s">
        <v>231</v>
      </c>
      <c r="AQ43" s="73" t="s">
        <v>264</v>
      </c>
      <c r="AR43" s="70" t="s">
        <v>233</v>
      </c>
      <c r="AS43" s="63">
        <v>3</v>
      </c>
      <c r="AT43" s="63" t="s">
        <v>265</v>
      </c>
      <c r="AU43" s="63">
        <v>17</v>
      </c>
      <c r="AV43" s="63">
        <v>3</v>
      </c>
      <c r="AW43" s="63" t="s">
        <v>265</v>
      </c>
      <c r="AX43" s="63" t="s">
        <v>335</v>
      </c>
      <c r="AY43" s="63" t="s">
        <v>235</v>
      </c>
      <c r="AZ43" s="63" t="s">
        <v>235</v>
      </c>
      <c r="BA43" s="63" t="s">
        <v>235</v>
      </c>
      <c r="BB43" s="63"/>
      <c r="BC43" s="63"/>
      <c r="BD43" s="62"/>
      <c r="BE43" s="71">
        <f t="shared" si="98"/>
        <v>0</v>
      </c>
      <c r="BF43" s="71">
        <f t="shared" si="98"/>
        <v>0</v>
      </c>
      <c r="BG43" s="71">
        <f t="shared" si="99"/>
        <v>0</v>
      </c>
      <c r="BH43" s="74" t="str">
        <f t="shared" si="100"/>
        <v xml:space="preserve"> </v>
      </c>
      <c r="BI43" s="75" t="str">
        <f t="shared" si="101"/>
        <v xml:space="preserve"> </v>
      </c>
      <c r="BJ43" s="71">
        <f t="shared" si="102"/>
        <v>0</v>
      </c>
      <c r="BK43" s="75" t="str">
        <f t="shared" si="103"/>
        <v xml:space="preserve"> </v>
      </c>
      <c r="BL43" s="76">
        <f t="shared" si="104"/>
        <v>0</v>
      </c>
      <c r="BM43" s="77">
        <f t="shared" si="104"/>
        <v>0</v>
      </c>
      <c r="BN43" s="78"/>
      <c r="BO43" s="67"/>
      <c r="BP43" s="67"/>
      <c r="BQ43" s="63"/>
      <c r="BR43" s="63"/>
      <c r="BS43" s="74" t="str">
        <f t="shared" si="108"/>
        <v xml:space="preserve"> </v>
      </c>
      <c r="BT43" s="79" t="s">
        <v>221</v>
      </c>
      <c r="BU43" s="79" t="s">
        <v>221</v>
      </c>
      <c r="BV43" s="80">
        <v>0</v>
      </c>
      <c r="BW43" s="81">
        <v>0</v>
      </c>
      <c r="BX43" s="82"/>
      <c r="BY43" s="83"/>
      <c r="BZ43" s="83"/>
      <c r="CA43" s="84"/>
      <c r="CB43" s="84"/>
      <c r="CC43" s="74" t="str">
        <f t="shared" si="109"/>
        <v xml:space="preserve"> </v>
      </c>
      <c r="CD43" s="79" t="s">
        <v>221</v>
      </c>
      <c r="CE43" s="81">
        <v>0</v>
      </c>
      <c r="CF43" s="85"/>
      <c r="CG43" s="85"/>
      <c r="CH43" s="85"/>
      <c r="CI43" s="78"/>
      <c r="CJ43" s="78"/>
      <c r="CK43" s="74" t="str">
        <f t="shared" si="110"/>
        <v xml:space="preserve"> </v>
      </c>
      <c r="CL43" s="79" t="s">
        <v>221</v>
      </c>
      <c r="CM43" s="79" t="s">
        <v>221</v>
      </c>
      <c r="CN43" s="86" t="s">
        <v>221</v>
      </c>
      <c r="CO43" s="81">
        <v>0</v>
      </c>
      <c r="CP43" s="87"/>
      <c r="CQ43" s="83"/>
      <c r="CR43" s="83"/>
      <c r="CS43" s="82"/>
      <c r="CT43" s="82"/>
      <c r="CU43" s="74" t="str">
        <f t="shared" si="111"/>
        <v xml:space="preserve"> </v>
      </c>
      <c r="CV43" s="79" t="s">
        <v>221</v>
      </c>
      <c r="CW43" s="79" t="s">
        <v>221</v>
      </c>
      <c r="CX43" s="88" t="s">
        <v>221</v>
      </c>
      <c r="CY43" s="81">
        <v>0</v>
      </c>
      <c r="CZ43" s="89"/>
      <c r="DA43" s="67"/>
      <c r="DB43" s="67"/>
      <c r="DC43" s="78"/>
      <c r="DD43" s="78"/>
      <c r="DE43" s="74" t="str">
        <f t="shared" si="112"/>
        <v xml:space="preserve"> </v>
      </c>
      <c r="DF43" s="79" t="s">
        <v>221</v>
      </c>
      <c r="DG43" s="79" t="s">
        <v>221</v>
      </c>
      <c r="DH43" s="79" t="s">
        <v>221</v>
      </c>
      <c r="DI43" s="81">
        <v>0</v>
      </c>
      <c r="DJ43" s="87"/>
      <c r="DK43" s="83"/>
      <c r="DL43" s="83"/>
      <c r="DM43" s="82"/>
      <c r="DN43" s="82"/>
      <c r="DO43" s="74" t="str">
        <f t="shared" si="113"/>
        <v xml:space="preserve"> </v>
      </c>
      <c r="DP43" s="79" t="s">
        <v>221</v>
      </c>
      <c r="DQ43" s="79" t="s">
        <v>221</v>
      </c>
      <c r="DR43" s="79" t="s">
        <v>221</v>
      </c>
      <c r="DS43" s="81">
        <v>0</v>
      </c>
      <c r="DT43" s="89"/>
      <c r="DU43" s="67"/>
      <c r="DV43" s="67"/>
      <c r="DW43" s="78"/>
      <c r="DX43" s="78"/>
      <c r="DY43" s="74" t="str">
        <f t="shared" si="114"/>
        <v xml:space="preserve"> </v>
      </c>
      <c r="DZ43" s="90">
        <v>0</v>
      </c>
      <c r="EA43" s="90">
        <v>0</v>
      </c>
      <c r="EB43" s="90">
        <v>0</v>
      </c>
      <c r="EC43" s="91">
        <v>0</v>
      </c>
      <c r="ED43" s="87"/>
      <c r="EE43" s="83"/>
      <c r="EF43" s="83"/>
      <c r="EG43" s="82"/>
      <c r="EH43" s="82"/>
      <c r="EI43" s="74" t="str">
        <f t="shared" si="105"/>
        <v xml:space="preserve"> </v>
      </c>
      <c r="EJ43" s="92">
        <v>0</v>
      </c>
      <c r="EK43" s="92">
        <v>0</v>
      </c>
      <c r="EL43" s="92">
        <v>0</v>
      </c>
      <c r="EM43" s="93">
        <v>0</v>
      </c>
      <c r="EN43" s="89"/>
      <c r="EO43" s="67"/>
      <c r="EP43" s="67"/>
      <c r="EQ43" s="78">
        <v>9</v>
      </c>
      <c r="ER43" s="78">
        <v>4</v>
      </c>
      <c r="ES43" s="74">
        <f t="shared" si="106"/>
        <v>0.44444444444444442</v>
      </c>
      <c r="ET43" s="94">
        <v>0</v>
      </c>
      <c r="EU43" s="94"/>
      <c r="EV43" s="94">
        <v>0</v>
      </c>
      <c r="EW43" s="95">
        <v>0</v>
      </c>
      <c r="EX43" s="87"/>
      <c r="EY43" s="83"/>
      <c r="EZ43" s="83"/>
      <c r="FA43" s="82"/>
      <c r="FB43" s="82"/>
      <c r="FC43" s="74" t="str">
        <f t="shared" si="115"/>
        <v xml:space="preserve"> </v>
      </c>
      <c r="FD43" s="92"/>
      <c r="FE43" s="92"/>
      <c r="FF43" s="92"/>
      <c r="FG43" s="92"/>
      <c r="FH43" s="76">
        <f t="shared" si="116"/>
        <v>0</v>
      </c>
      <c r="FI43" s="89"/>
      <c r="FJ43" s="67"/>
      <c r="FK43" s="67"/>
      <c r="FL43" s="78"/>
      <c r="FM43" s="78"/>
      <c r="FN43" s="74" t="str">
        <f t="shared" si="117"/>
        <v xml:space="preserve"> </v>
      </c>
      <c r="FO43" s="94"/>
      <c r="FP43" s="94"/>
      <c r="FQ43" s="94"/>
      <c r="FR43" s="94"/>
      <c r="FS43" s="76">
        <f t="shared" si="118"/>
        <v>0</v>
      </c>
      <c r="FT43" s="87"/>
      <c r="FU43" s="83"/>
      <c r="FV43" s="83"/>
      <c r="FW43" s="82"/>
      <c r="FX43" s="82"/>
      <c r="FY43" s="74" t="str">
        <f t="shared" si="119"/>
        <v xml:space="preserve"> </v>
      </c>
      <c r="FZ43" s="92"/>
      <c r="GA43" s="92"/>
      <c r="GB43" s="92"/>
      <c r="GC43" s="92"/>
      <c r="GD43" s="76">
        <f t="shared" si="120"/>
        <v>0</v>
      </c>
      <c r="GE43" s="62"/>
      <c r="GF43" s="96" t="s">
        <v>221</v>
      </c>
      <c r="GG43" s="96" t="s">
        <v>221</v>
      </c>
      <c r="GH43" s="63"/>
      <c r="GI43" s="63" t="s">
        <v>221</v>
      </c>
      <c r="GJ43" s="63" t="s">
        <v>221</v>
      </c>
      <c r="GK43" s="97">
        <f t="shared" si="84"/>
        <v>0</v>
      </c>
      <c r="GL43" s="63" t="s">
        <v>221</v>
      </c>
      <c r="GM43" s="98"/>
      <c r="GN43" s="97">
        <f t="shared" si="121"/>
        <v>0</v>
      </c>
      <c r="GO43" s="97" t="str">
        <f t="shared" si="122"/>
        <v xml:space="preserve"> </v>
      </c>
      <c r="GP43" s="62"/>
      <c r="GQ43" s="63" t="s">
        <v>213</v>
      </c>
      <c r="GR43" s="63" t="s">
        <v>237</v>
      </c>
      <c r="GS43" s="63" t="s">
        <v>237</v>
      </c>
      <c r="GT43" s="63" t="s">
        <v>237</v>
      </c>
      <c r="GU43" s="63" t="s">
        <v>237</v>
      </c>
      <c r="GV43" s="63" t="s">
        <v>237</v>
      </c>
      <c r="GW43" s="63" t="s">
        <v>237</v>
      </c>
      <c r="GX43" s="63" t="s">
        <v>334</v>
      </c>
      <c r="GY43" s="65" t="s">
        <v>239</v>
      </c>
      <c r="GZ43" s="65" t="s">
        <v>239</v>
      </c>
      <c r="HA43" s="63" t="s">
        <v>237</v>
      </c>
      <c r="HB43" s="63" t="s">
        <v>237</v>
      </c>
      <c r="HC43" s="63"/>
      <c r="HD43" s="63"/>
      <c r="HE43" s="63"/>
      <c r="HF43" s="63"/>
      <c r="HG43" s="63" t="s">
        <v>237</v>
      </c>
      <c r="HH43" s="63"/>
      <c r="HI43" s="63"/>
      <c r="HJ43" s="63"/>
      <c r="HK43" s="63"/>
      <c r="HL43" s="65" t="str">
        <f t="shared" si="131"/>
        <v/>
      </c>
      <c r="HM43" s="65" t="str">
        <f t="shared" si="124"/>
        <v/>
      </c>
      <c r="HN43" s="65" t="s">
        <v>239</v>
      </c>
      <c r="HO43" s="65" t="str">
        <f t="shared" si="132"/>
        <v/>
      </c>
      <c r="HP43" s="99" t="str">
        <f t="shared" si="130"/>
        <v/>
      </c>
      <c r="HQ43" s="65" t="s">
        <v>239</v>
      </c>
      <c r="HR43" s="63"/>
      <c r="HS43" s="63"/>
      <c r="HT43" s="63"/>
      <c r="HU43" s="63" t="s">
        <v>239</v>
      </c>
      <c r="HV43" s="63"/>
      <c r="HW43" s="63"/>
      <c r="HX43" s="63"/>
      <c r="HY43" s="63"/>
      <c r="HZ43" s="63"/>
      <c r="IA43" s="63"/>
      <c r="IB43" s="63"/>
      <c r="IC43" s="63" t="s">
        <v>237</v>
      </c>
      <c r="ID43" s="96"/>
      <c r="IE43" s="100"/>
      <c r="IF43" s="100"/>
      <c r="IG43" s="100"/>
      <c r="IH43" s="100"/>
      <c r="II43" s="100"/>
      <c r="IJ43" s="100"/>
      <c r="IK43" s="100"/>
      <c r="IL43" s="63"/>
      <c r="IM43" s="62"/>
      <c r="IN43" s="101"/>
      <c r="IO43" s="101"/>
      <c r="IP43" s="63"/>
      <c r="IQ43" s="63"/>
      <c r="IR43" s="63"/>
      <c r="IS43" s="63"/>
      <c r="IT43" s="63"/>
      <c r="IU43" s="63"/>
      <c r="IV43" s="63"/>
      <c r="IW43" s="63"/>
      <c r="IX43" s="63"/>
      <c r="IY43" s="63"/>
      <c r="IZ43" s="63"/>
      <c r="JA43" s="65">
        <f t="shared" si="107"/>
        <v>0</v>
      </c>
      <c r="JB43" s="63"/>
      <c r="JC43" s="101"/>
      <c r="JD43" s="101"/>
      <c r="JE43" s="63"/>
      <c r="JF43" s="63"/>
      <c r="JG43" s="63"/>
      <c r="JH43" s="63"/>
      <c r="JI43" s="63"/>
      <c r="JJ43" s="63"/>
      <c r="JK43" s="63"/>
      <c r="JL43" s="63"/>
      <c r="JM43" s="63"/>
      <c r="JN43" s="96"/>
      <c r="JO43" s="96"/>
      <c r="JP43" s="65">
        <f t="shared" si="29"/>
        <v>0</v>
      </c>
      <c r="JQ43" s="96"/>
      <c r="LM43" s="205"/>
      <c r="LN43" s="102">
        <f>IFERROR(ROWS($IL$8:IL43)," ")</f>
        <v>36</v>
      </c>
      <c r="LO43" s="103" t="str">
        <f>IFERROR(IF([1]Checklist!$C$3='GenInfo (2)'!E43,'GenInfo (2)'!LN43," ")," ")</f>
        <v xml:space="preserve"> </v>
      </c>
      <c r="LP43" s="104" t="str">
        <f>IFERROR(SMALL($LO$8:$LO$94,ROWS($IL$8:IL43))," ")</f>
        <v xml:space="preserve"> </v>
      </c>
      <c r="LQ43" s="102">
        <f>IFERROR(ROWS($IL$8:IL43)," ")</f>
        <v>36</v>
      </c>
      <c r="LR43" s="103" t="str">
        <f>IFERROR(IF([1]Checklist!$C$4='GenInfo (2)'!E43,'GenInfo (2)'!LQ43," ")," ")</f>
        <v xml:space="preserve"> </v>
      </c>
      <c r="LS43" s="104" t="str">
        <f>IFERROR(SMALL($LR$8:$LR$94,ROWS($IL$8:IL43))," ")</f>
        <v xml:space="preserve"> </v>
      </c>
      <c r="LT43" s="102">
        <f>IFERROR(ROWS($IL$8:IL43)," ")</f>
        <v>36</v>
      </c>
      <c r="LU43" s="103" t="str">
        <f>IFERROR(IF([1]Checklist!$C$5='GenInfo (2)'!E43,'GenInfo (2)'!LT43," ")," ")</f>
        <v xml:space="preserve"> </v>
      </c>
      <c r="LV43" s="104" t="str">
        <f>IFERROR(SMALL($LU$8:$LU$94,ROWS($IL$8:IL43))," ")</f>
        <v xml:space="preserve"> </v>
      </c>
      <c r="LW43" s="102">
        <f>IFERROR(ROWS($IL$8:IL43)," ")</f>
        <v>36</v>
      </c>
      <c r="LX43" s="103" t="str">
        <f>IFERROR(IF([1]Checklist!$C$6='GenInfo (2)'!E43,'GenInfo (2)'!LW43," ")," ")</f>
        <v xml:space="preserve"> </v>
      </c>
      <c r="LY43" s="104" t="str">
        <f>IFERROR(SMALL($LX$8:$LX$94,ROWS($IL$8:IL43))," ")</f>
        <v xml:space="preserve"> </v>
      </c>
      <c r="LZ43" s="102">
        <f>IFERROR(ROWS($IL$8:IL43)," ")</f>
        <v>36</v>
      </c>
      <c r="MA43" s="103" t="str">
        <f>IFERROR(IF([1]Checklist!$C$7='GenInfo (2)'!E43,'GenInfo (2)'!LZ43," ")," ")</f>
        <v xml:space="preserve"> </v>
      </c>
      <c r="MB43" s="104" t="str">
        <f>IFERROR(SMALL($MA$8:$MA$94,ROWS($IL$8:IL43))," ")</f>
        <v xml:space="preserve"> </v>
      </c>
      <c r="MC43" s="102">
        <f>IFERROR(ROWS($IL$8:IL43)," ")</f>
        <v>36</v>
      </c>
      <c r="MD43" s="103" t="str">
        <f>IFERROR(IF([1]Checklist!$C$8='GenInfo (2)'!E43,'GenInfo (2)'!MC43," ")," ")</f>
        <v xml:space="preserve"> </v>
      </c>
      <c r="ME43" s="104" t="str">
        <f>IFERROR(SMALL($MD$8:$MD$94,ROWS($IL$8:IL43))," ")</f>
        <v xml:space="preserve"> </v>
      </c>
      <c r="MF43" s="102">
        <f>IFERROR(ROWS($IL$8:IL43)," ")</f>
        <v>36</v>
      </c>
      <c r="MG43" s="103" t="str">
        <f>IFERROR(IF([1]Checklist!$C$9='GenInfo (2)'!E43,'GenInfo (2)'!MF43," ")," ")</f>
        <v xml:space="preserve"> </v>
      </c>
      <c r="MH43" s="104" t="str">
        <f>IFERROR(SMALL($MG$8:$MG$94,ROWS($IL$8:IL43))," ")</f>
        <v xml:space="preserve"> </v>
      </c>
      <c r="MI43" s="102">
        <f>IFERROR(ROWS($IL$8:$IL43)," ")</f>
        <v>36</v>
      </c>
      <c r="MJ43" s="103" t="str">
        <f>IFERROR(IF([1]Checklist!$C$10='GenInfo (2)'!E43,'GenInfo (2)'!MI43," ")," ")</f>
        <v xml:space="preserve"> </v>
      </c>
      <c r="MK43" s="104" t="str">
        <f>IFERROR(SMALL($MJ$8:$MJ$94,ROWS($IL$8:IL43))," ")</f>
        <v xml:space="preserve"> </v>
      </c>
      <c r="ML43" s="102">
        <f>IFERROR(ROWS($IL$8:IL43)," ")</f>
        <v>36</v>
      </c>
      <c r="MM43" s="103" t="str">
        <f>IFERROR(IF([1]Checklist!$C$11='GenInfo (2)'!E43,'GenInfo (2)'!ML43," ")," ")</f>
        <v xml:space="preserve"> </v>
      </c>
      <c r="MN43" s="104" t="str">
        <f>IFERROR(SMALL($MM$8:$MM$94,ROWS($IL$8:IL43))," ")</f>
        <v xml:space="preserve"> </v>
      </c>
      <c r="MO43" s="102">
        <f>IFERROR(ROWS($IL$8:IL43)," ")</f>
        <v>36</v>
      </c>
      <c r="MP43" s="103" t="str">
        <f>IFERROR(IF([1]Checklist!$C$12='GenInfo (2)'!E43,'GenInfo (2)'!MO43," ")," ")</f>
        <v xml:space="preserve"> </v>
      </c>
      <c r="MQ43" s="104" t="str">
        <f>IFERROR(SMALL($MP$8:$MP$94,ROWS($IL$8:IL43))," ")</f>
        <v xml:space="preserve"> </v>
      </c>
      <c r="MR43" s="102">
        <f>IFERROR(ROWS($IL$8:IL43)," ")</f>
        <v>36</v>
      </c>
      <c r="MS43" s="103" t="str">
        <f>IFERROR(IF([1]Checklist!$C$13='GenInfo (2)'!E43,'GenInfo (2)'!MR43," ")," ")</f>
        <v xml:space="preserve"> </v>
      </c>
      <c r="MT43" s="104" t="str">
        <f>IFERROR(SMALL($MS$8:$MS$94,ROWS($IL$8:IL43))," ")</f>
        <v xml:space="preserve"> </v>
      </c>
      <c r="MU43" s="102">
        <f>IFERROR(ROWS($IL$8:IL43)," ")</f>
        <v>36</v>
      </c>
      <c r="MV43" s="103" t="str">
        <f>IFERROR(IF([1]Checklist!$C$14='GenInfo (2)'!E43,'GenInfo (2)'!MU43," ")," ")</f>
        <v xml:space="preserve"> </v>
      </c>
      <c r="MW43" s="104" t="str">
        <f>IFERROR(SMALL($MV$8:$MV$94,ROWS($IL$8:IL43))," ")</f>
        <v xml:space="preserve"> </v>
      </c>
      <c r="MX43" s="102">
        <f>IFERROR(ROWS($IL$8:IL43)," ")</f>
        <v>36</v>
      </c>
      <c r="MY43" s="103">
        <f>IFERROR(IF([1]Checklist!$C$15='GenInfo (2)'!E43,'GenInfo (2)'!MX43," ")," ")</f>
        <v>36</v>
      </c>
      <c r="MZ43" s="104" t="str">
        <f>IFERROR(SMALL($MY$8:$MY$94,ROWS($IL$8:IL43))," ")</f>
        <v xml:space="preserve"> </v>
      </c>
      <c r="NA43" s="102">
        <f>IFERROR(ROWS($IL$8:IL43)," ")</f>
        <v>36</v>
      </c>
      <c r="NB43" s="103" t="str">
        <f>IFERROR(IF([1]Checklist!$C$16='GenInfo (2)'!E43,'GenInfo (2)'!NA43," ")," ")</f>
        <v xml:space="preserve"> </v>
      </c>
      <c r="NC43" s="104" t="str">
        <f>IFERROR(SMALL($NB$8:$NB$94,ROWS($IL$8:IL43))," ")</f>
        <v xml:space="preserve"> </v>
      </c>
      <c r="ND43" s="102">
        <f>IFERROR(ROWS($IL$8:IL43)," ")</f>
        <v>36</v>
      </c>
      <c r="NE43" s="103" t="str">
        <f>IFERROR(IF([1]Checklist!$C$17='GenInfo (2)'!E43,'GenInfo (2)'!ND43," ")," ")</f>
        <v xml:space="preserve"> </v>
      </c>
      <c r="NF43" s="104" t="str">
        <f>IFERROR(SMALL($NE$8:$NE$94,ROWS($IL$8:IL43))," ")</f>
        <v xml:space="preserve"> </v>
      </c>
    </row>
    <row r="44" spans="1:370" ht="14.25" x14ac:dyDescent="0.45">
      <c r="A44" s="37" t="s">
        <v>213</v>
      </c>
      <c r="B44" s="37">
        <v>233</v>
      </c>
      <c r="C44" s="146" t="s">
        <v>601</v>
      </c>
      <c r="D44" t="s">
        <v>602</v>
      </c>
      <c r="E44" s="64" t="s">
        <v>573</v>
      </c>
      <c r="F44" s="63" t="s">
        <v>603</v>
      </c>
      <c r="G44" s="64" t="s">
        <v>218</v>
      </c>
      <c r="H44" s="63"/>
      <c r="I44" s="137" t="s">
        <v>604</v>
      </c>
      <c r="J44" s="63" t="s">
        <v>605</v>
      </c>
      <c r="K44" s="62"/>
      <c r="L44" s="67">
        <v>43854</v>
      </c>
      <c r="M44" s="67">
        <v>43854</v>
      </c>
      <c r="N44" s="67" t="s">
        <v>213</v>
      </c>
      <c r="O44" s="68">
        <v>43862</v>
      </c>
      <c r="P44" s="67">
        <v>43885</v>
      </c>
      <c r="Q44" s="67">
        <v>43914</v>
      </c>
      <c r="R44" s="63"/>
      <c r="S44" s="67"/>
      <c r="T44" s="63"/>
      <c r="U44" s="62"/>
      <c r="V44" s="67">
        <v>43951</v>
      </c>
      <c r="W44" s="63" t="s">
        <v>222</v>
      </c>
      <c r="X44" s="69"/>
      <c r="Y44" s="63"/>
      <c r="Z44" s="69"/>
      <c r="AA44" s="62"/>
      <c r="AB44" s="63" t="s">
        <v>597</v>
      </c>
      <c r="AC44" s="63" t="s">
        <v>598</v>
      </c>
      <c r="AD44" s="63"/>
      <c r="AE44" s="63" t="s">
        <v>580</v>
      </c>
      <c r="AF44" s="63" t="s">
        <v>599</v>
      </c>
      <c r="AG44" s="63"/>
      <c r="AH44" s="63" t="s">
        <v>582</v>
      </c>
      <c r="AI44" s="63" t="s">
        <v>230</v>
      </c>
      <c r="AJ44" s="63">
        <v>60466</v>
      </c>
      <c r="AK44" s="62"/>
      <c r="AL44" s="71">
        <f t="shared" si="95"/>
        <v>17</v>
      </c>
      <c r="AM44" s="71">
        <f t="shared" ca="1" si="129"/>
        <v>19</v>
      </c>
      <c r="AN44" s="67">
        <v>37386</v>
      </c>
      <c r="AO44" s="72">
        <f t="shared" ca="1" si="97"/>
        <v>15</v>
      </c>
      <c r="AP44" s="63" t="s">
        <v>231</v>
      </c>
      <c r="AQ44" s="73" t="s">
        <v>264</v>
      </c>
      <c r="AR44" s="70" t="s">
        <v>233</v>
      </c>
      <c r="AS44" s="63">
        <v>3</v>
      </c>
      <c r="AT44" s="63" t="s">
        <v>265</v>
      </c>
      <c r="AU44" s="63" t="s">
        <v>265</v>
      </c>
      <c r="AV44" s="63">
        <v>3</v>
      </c>
      <c r="AW44" s="63" t="s">
        <v>265</v>
      </c>
      <c r="AX44" s="63" t="s">
        <v>335</v>
      </c>
      <c r="AY44" s="63" t="s">
        <v>235</v>
      </c>
      <c r="AZ44" s="63" t="s">
        <v>235</v>
      </c>
      <c r="BA44" s="63" t="s">
        <v>235</v>
      </c>
      <c r="BB44" s="63"/>
      <c r="BC44" s="63"/>
      <c r="BD44" s="62"/>
      <c r="BE44" s="71">
        <f t="shared" si="98"/>
        <v>0</v>
      </c>
      <c r="BF44" s="71">
        <f t="shared" si="98"/>
        <v>0</v>
      </c>
      <c r="BG44" s="71">
        <f t="shared" si="99"/>
        <v>0</v>
      </c>
      <c r="BH44" s="74" t="str">
        <f t="shared" si="100"/>
        <v xml:space="preserve"> </v>
      </c>
      <c r="BI44" s="75" t="str">
        <f t="shared" si="101"/>
        <v xml:space="preserve"> </v>
      </c>
      <c r="BJ44" s="71">
        <f t="shared" si="102"/>
        <v>0</v>
      </c>
      <c r="BK44" s="75" t="str">
        <f t="shared" si="103"/>
        <v xml:space="preserve"> </v>
      </c>
      <c r="BL44" s="76">
        <f t="shared" si="104"/>
        <v>0</v>
      </c>
      <c r="BM44" s="77">
        <f t="shared" si="104"/>
        <v>0</v>
      </c>
      <c r="BN44" s="78"/>
      <c r="BO44" s="67"/>
      <c r="BP44" s="67"/>
      <c r="BQ44" s="63"/>
      <c r="BR44" s="63"/>
      <c r="BS44" s="74" t="str">
        <f t="shared" si="108"/>
        <v xml:space="preserve"> </v>
      </c>
      <c r="BT44" s="79" t="s">
        <v>221</v>
      </c>
      <c r="BU44" s="79" t="s">
        <v>221</v>
      </c>
      <c r="BV44" s="80">
        <v>0</v>
      </c>
      <c r="BW44" s="81">
        <v>0</v>
      </c>
      <c r="BX44" s="82"/>
      <c r="BY44" s="83"/>
      <c r="BZ44" s="83"/>
      <c r="CA44" s="84"/>
      <c r="CB44" s="84"/>
      <c r="CC44" s="74" t="str">
        <f t="shared" si="109"/>
        <v xml:space="preserve"> </v>
      </c>
      <c r="CD44" s="79" t="s">
        <v>221</v>
      </c>
      <c r="CE44" s="81">
        <v>0</v>
      </c>
      <c r="CF44" s="85"/>
      <c r="CG44" s="85"/>
      <c r="CH44" s="85"/>
      <c r="CI44" s="78"/>
      <c r="CJ44" s="78"/>
      <c r="CK44" s="74" t="str">
        <f t="shared" si="110"/>
        <v xml:space="preserve"> </v>
      </c>
      <c r="CL44" s="79" t="s">
        <v>221</v>
      </c>
      <c r="CM44" s="79" t="s">
        <v>221</v>
      </c>
      <c r="CN44" s="86" t="s">
        <v>221</v>
      </c>
      <c r="CO44" s="81">
        <v>0</v>
      </c>
      <c r="CP44" s="87"/>
      <c r="CQ44" s="83"/>
      <c r="CR44" s="83"/>
      <c r="CS44" s="82"/>
      <c r="CT44" s="82"/>
      <c r="CU44" s="74" t="str">
        <f t="shared" si="111"/>
        <v xml:space="preserve"> </v>
      </c>
      <c r="CV44" s="79" t="s">
        <v>221</v>
      </c>
      <c r="CW44" s="79" t="s">
        <v>221</v>
      </c>
      <c r="CX44" s="88" t="s">
        <v>221</v>
      </c>
      <c r="CY44" s="81">
        <v>0</v>
      </c>
      <c r="CZ44" s="89"/>
      <c r="DA44" s="67"/>
      <c r="DB44" s="67"/>
      <c r="DC44" s="78"/>
      <c r="DD44" s="78"/>
      <c r="DE44" s="74" t="str">
        <f t="shared" si="112"/>
        <v xml:space="preserve"> </v>
      </c>
      <c r="DF44" s="79" t="s">
        <v>221</v>
      </c>
      <c r="DG44" s="79" t="s">
        <v>221</v>
      </c>
      <c r="DH44" s="79" t="s">
        <v>221</v>
      </c>
      <c r="DI44" s="81">
        <v>0</v>
      </c>
      <c r="DJ44" s="87"/>
      <c r="DK44" s="83"/>
      <c r="DL44" s="83"/>
      <c r="DM44" s="82"/>
      <c r="DN44" s="82"/>
      <c r="DO44" s="74" t="str">
        <f t="shared" si="113"/>
        <v xml:space="preserve"> </v>
      </c>
      <c r="DP44" s="79" t="s">
        <v>221</v>
      </c>
      <c r="DQ44" s="79" t="s">
        <v>221</v>
      </c>
      <c r="DR44" s="79" t="s">
        <v>221</v>
      </c>
      <c r="DS44" s="81">
        <v>0</v>
      </c>
      <c r="DT44" s="89"/>
      <c r="DU44" s="67"/>
      <c r="DV44" s="67"/>
      <c r="DW44" s="78"/>
      <c r="DX44" s="78"/>
      <c r="DY44" s="74" t="str">
        <f t="shared" si="114"/>
        <v xml:space="preserve"> </v>
      </c>
      <c r="DZ44" s="90">
        <v>0</v>
      </c>
      <c r="EA44" s="90">
        <v>0</v>
      </c>
      <c r="EB44" s="90">
        <v>0</v>
      </c>
      <c r="EC44" s="91">
        <v>0</v>
      </c>
      <c r="ED44" s="87"/>
      <c r="EE44" s="83"/>
      <c r="EF44" s="83"/>
      <c r="EG44" s="82"/>
      <c r="EH44" s="82"/>
      <c r="EI44" s="74" t="str">
        <f t="shared" si="105"/>
        <v xml:space="preserve"> </v>
      </c>
      <c r="EJ44" s="92">
        <v>0</v>
      </c>
      <c r="EK44" s="92">
        <v>0</v>
      </c>
      <c r="EL44" s="92">
        <v>0</v>
      </c>
      <c r="EM44" s="93">
        <v>0</v>
      </c>
      <c r="EN44" s="89"/>
      <c r="EO44" s="67"/>
      <c r="EP44" s="67"/>
      <c r="EQ44" s="78"/>
      <c r="ER44" s="78"/>
      <c r="ES44" s="74" t="str">
        <f t="shared" si="106"/>
        <v xml:space="preserve"> </v>
      </c>
      <c r="ET44" s="94">
        <v>0</v>
      </c>
      <c r="EU44" s="94"/>
      <c r="EV44" s="94">
        <v>0</v>
      </c>
      <c r="EW44" s="95">
        <v>0</v>
      </c>
      <c r="EX44" s="87"/>
      <c r="EY44" s="83"/>
      <c r="EZ44" s="83"/>
      <c r="FA44" s="82"/>
      <c r="FB44" s="82"/>
      <c r="FC44" s="74" t="str">
        <f t="shared" si="115"/>
        <v xml:space="preserve"> </v>
      </c>
      <c r="FD44" s="92"/>
      <c r="FE44" s="92"/>
      <c r="FF44" s="92"/>
      <c r="FG44" s="92"/>
      <c r="FH44" s="76">
        <f t="shared" si="116"/>
        <v>0</v>
      </c>
      <c r="FI44" s="89"/>
      <c r="FJ44" s="67"/>
      <c r="FK44" s="67"/>
      <c r="FL44" s="78"/>
      <c r="FM44" s="78"/>
      <c r="FN44" s="74" t="str">
        <f t="shared" si="117"/>
        <v xml:space="preserve"> </v>
      </c>
      <c r="FO44" s="94"/>
      <c r="FP44" s="94"/>
      <c r="FQ44" s="94"/>
      <c r="FR44" s="94"/>
      <c r="FS44" s="76">
        <f t="shared" si="118"/>
        <v>0</v>
      </c>
      <c r="FT44" s="87"/>
      <c r="FU44" s="83"/>
      <c r="FV44" s="83"/>
      <c r="FW44" s="82"/>
      <c r="FX44" s="82"/>
      <c r="FY44" s="74" t="str">
        <f t="shared" si="119"/>
        <v xml:space="preserve"> </v>
      </c>
      <c r="FZ44" s="92"/>
      <c r="GA44" s="92"/>
      <c r="GB44" s="92"/>
      <c r="GC44" s="92"/>
      <c r="GD44" s="76">
        <f t="shared" si="120"/>
        <v>0</v>
      </c>
      <c r="GE44" s="62"/>
      <c r="GF44" s="96" t="s">
        <v>221</v>
      </c>
      <c r="GG44" s="96" t="s">
        <v>221</v>
      </c>
      <c r="GH44" s="63"/>
      <c r="GI44" s="63" t="s">
        <v>221</v>
      </c>
      <c r="GJ44" s="63" t="s">
        <v>221</v>
      </c>
      <c r="GK44" s="97">
        <f t="shared" si="84"/>
        <v>0</v>
      </c>
      <c r="GL44" s="63" t="s">
        <v>221</v>
      </c>
      <c r="GM44" s="98"/>
      <c r="GN44" s="97">
        <f t="shared" si="121"/>
        <v>0</v>
      </c>
      <c r="GO44" s="97" t="str">
        <f t="shared" si="122"/>
        <v xml:space="preserve"> </v>
      </c>
      <c r="GP44" s="62"/>
      <c r="GQ44" s="63"/>
      <c r="GR44" s="63"/>
      <c r="GS44" s="63"/>
      <c r="GT44" s="63"/>
      <c r="GU44" s="63"/>
      <c r="GV44" s="63"/>
      <c r="GW44" s="63"/>
      <c r="GX44" s="63"/>
      <c r="GY44" s="65" t="str">
        <f>IFERROR(IF(IN44&gt;0,"X",""),"")</f>
        <v/>
      </c>
      <c r="GZ44" s="65" t="str">
        <f>IFERROR(IF(JC44&gt;0,"X",""),"")</f>
        <v/>
      </c>
      <c r="HA44" s="63"/>
      <c r="HB44" s="63"/>
      <c r="HC44" s="63"/>
      <c r="HD44" s="63"/>
      <c r="HE44" s="63"/>
      <c r="HF44" s="63"/>
      <c r="HG44" s="63"/>
      <c r="HH44" s="63"/>
      <c r="HI44" s="63"/>
      <c r="HJ44" s="63"/>
      <c r="HK44" s="63"/>
      <c r="HL44" s="65" t="str">
        <f t="shared" si="131"/>
        <v/>
      </c>
      <c r="HM44" s="65" t="str">
        <f t="shared" si="124"/>
        <v/>
      </c>
      <c r="HN44" s="65" t="str">
        <f>IFERROR(IF(OR(IW44&gt;0,IX44&gt;0,IY44&gt;0,IZ44&gt;0),"x",""),"")</f>
        <v/>
      </c>
      <c r="HO44" s="65" t="str">
        <f t="shared" si="132"/>
        <v/>
      </c>
      <c r="HP44" s="99" t="str">
        <f t="shared" si="130"/>
        <v/>
      </c>
      <c r="HQ44" s="99" t="str">
        <f>IFERROR(IF(OR(JL44&gt;0,JM44&gt;0,JN44&gt;0,JO44&gt;0),"x",""),"")</f>
        <v/>
      </c>
      <c r="HR44" s="63"/>
      <c r="HS44" s="63"/>
      <c r="HT44" s="63"/>
      <c r="HU44" s="63" t="s">
        <v>239</v>
      </c>
      <c r="HV44" s="63"/>
      <c r="HW44" s="63"/>
      <c r="HX44" s="63"/>
      <c r="HY44" s="63"/>
      <c r="HZ44" s="63"/>
      <c r="IA44" s="63"/>
      <c r="IB44" s="63"/>
      <c r="IC44" s="63"/>
      <c r="ID44" s="96"/>
      <c r="IE44" s="100"/>
      <c r="IF44" s="100"/>
      <c r="IG44" s="100"/>
      <c r="IH44" s="100"/>
      <c r="II44" s="100"/>
      <c r="IJ44" s="100"/>
      <c r="IK44" s="100"/>
      <c r="IL44" s="63"/>
      <c r="IM44" s="62"/>
      <c r="IN44" s="101"/>
      <c r="IO44" s="101"/>
      <c r="IP44" s="63"/>
      <c r="IQ44" s="63"/>
      <c r="IR44" s="63"/>
      <c r="IS44" s="63"/>
      <c r="IT44" s="63"/>
      <c r="IU44" s="63"/>
      <c r="IV44" s="63"/>
      <c r="IW44" s="63"/>
      <c r="IX44" s="63"/>
      <c r="IY44" s="63"/>
      <c r="IZ44" s="63"/>
      <c r="JA44" s="65">
        <f t="shared" si="107"/>
        <v>0</v>
      </c>
      <c r="JB44" s="63"/>
      <c r="JC44" s="101"/>
      <c r="JD44" s="101"/>
      <c r="JE44" s="63"/>
      <c r="JF44" s="63"/>
      <c r="JG44" s="63"/>
      <c r="JH44" s="63"/>
      <c r="JI44" s="63"/>
      <c r="JJ44" s="63"/>
      <c r="JK44" s="63"/>
      <c r="JL44" s="63"/>
      <c r="JM44" s="63"/>
      <c r="JN44" s="96"/>
      <c r="JO44" s="96"/>
      <c r="JP44" s="65">
        <f t="shared" si="29"/>
        <v>0</v>
      </c>
      <c r="JQ44" s="96">
        <f>JJ44-JF44</f>
        <v>0</v>
      </c>
      <c r="LM44" s="205"/>
      <c r="LN44" s="102">
        <f>IFERROR(ROWS($IL$8:IL44)," ")</f>
        <v>37</v>
      </c>
      <c r="LO44" s="103" t="str">
        <f>IFERROR(IF([1]Checklist!$C$3='GenInfo (2)'!E44,'GenInfo (2)'!LN44," ")," ")</f>
        <v xml:space="preserve"> </v>
      </c>
      <c r="LP44" s="104" t="str">
        <f>IFERROR(SMALL($LO$8:$LO$94,ROWS($IL$8:IL44))," ")</f>
        <v xml:space="preserve"> </v>
      </c>
      <c r="LQ44" s="102">
        <f>IFERROR(ROWS($IL$8:IL44)," ")</f>
        <v>37</v>
      </c>
      <c r="LR44" s="103" t="str">
        <f>IFERROR(IF([1]Checklist!$C$4='GenInfo (2)'!E44,'GenInfo (2)'!LQ44," ")," ")</f>
        <v xml:space="preserve"> </v>
      </c>
      <c r="LS44" s="104" t="str">
        <f>IFERROR(SMALL($LR$8:$LR$94,ROWS($IL$8:IL44))," ")</f>
        <v xml:space="preserve"> </v>
      </c>
      <c r="LT44" s="102">
        <f>IFERROR(ROWS($IL$8:IL44)," ")</f>
        <v>37</v>
      </c>
      <c r="LU44" s="103" t="str">
        <f>IFERROR(IF([1]Checklist!$C$5='GenInfo (2)'!E44,'GenInfo (2)'!LT44," ")," ")</f>
        <v xml:space="preserve"> </v>
      </c>
      <c r="LV44" s="104" t="str">
        <f>IFERROR(SMALL($LU$8:$LU$94,ROWS($IL$8:IL44))," ")</f>
        <v xml:space="preserve"> </v>
      </c>
      <c r="LW44" s="102">
        <f>IFERROR(ROWS($IL$8:IL44)," ")</f>
        <v>37</v>
      </c>
      <c r="LX44" s="103" t="str">
        <f>IFERROR(IF([1]Checklist!$C$6='GenInfo (2)'!E44,'GenInfo (2)'!LW44," ")," ")</f>
        <v xml:space="preserve"> </v>
      </c>
      <c r="LY44" s="104" t="str">
        <f>IFERROR(SMALL($LX$8:$LX$94,ROWS($IL$8:IL44))," ")</f>
        <v xml:space="preserve"> </v>
      </c>
      <c r="LZ44" s="102">
        <f>IFERROR(ROWS($IL$8:IL44)," ")</f>
        <v>37</v>
      </c>
      <c r="MA44" s="103" t="str">
        <f>IFERROR(IF([1]Checklist!$C$7='GenInfo (2)'!E44,'GenInfo (2)'!LZ44," ")," ")</f>
        <v xml:space="preserve"> </v>
      </c>
      <c r="MB44" s="104" t="str">
        <f>IFERROR(SMALL($MA$8:$MA$94,ROWS($IL$8:IL44))," ")</f>
        <v xml:space="preserve"> </v>
      </c>
      <c r="MC44" s="102">
        <f>IFERROR(ROWS($IL$8:IL44)," ")</f>
        <v>37</v>
      </c>
      <c r="MD44" s="103" t="str">
        <f>IFERROR(IF([1]Checklist!$C$8='GenInfo (2)'!E44,'GenInfo (2)'!MC44," ")," ")</f>
        <v xml:space="preserve"> </v>
      </c>
      <c r="ME44" s="104" t="str">
        <f>IFERROR(SMALL($MD$8:$MD$94,ROWS($IL$8:IL44))," ")</f>
        <v xml:space="preserve"> </v>
      </c>
      <c r="MF44" s="102">
        <f>IFERROR(ROWS($IL$8:IL44)," ")</f>
        <v>37</v>
      </c>
      <c r="MG44" s="103" t="str">
        <f>IFERROR(IF([1]Checklist!$C$9='GenInfo (2)'!E44,'GenInfo (2)'!MF44," ")," ")</f>
        <v xml:space="preserve"> </v>
      </c>
      <c r="MH44" s="104" t="str">
        <f>IFERROR(SMALL($MG$8:$MG$94,ROWS($IL$8:IL44))," ")</f>
        <v xml:space="preserve"> </v>
      </c>
      <c r="MI44" s="102">
        <f>IFERROR(ROWS($IL$8:$IL44)," ")</f>
        <v>37</v>
      </c>
      <c r="MJ44" s="103" t="str">
        <f>IFERROR(IF([1]Checklist!$C$10='GenInfo (2)'!E44,'GenInfo (2)'!MI44," ")," ")</f>
        <v xml:space="preserve"> </v>
      </c>
      <c r="MK44" s="104" t="str">
        <f>IFERROR(SMALL($MJ$8:$MJ$94,ROWS($IL$8:IL44))," ")</f>
        <v xml:space="preserve"> </v>
      </c>
      <c r="ML44" s="102">
        <f>IFERROR(ROWS($IL$8:IL44)," ")</f>
        <v>37</v>
      </c>
      <c r="MM44" s="103" t="str">
        <f>IFERROR(IF([1]Checklist!$C$11='GenInfo (2)'!E44,'GenInfo (2)'!ML44," ")," ")</f>
        <v xml:space="preserve"> </v>
      </c>
      <c r="MN44" s="104" t="str">
        <f>IFERROR(SMALL($MM$8:$MM$94,ROWS($IL$8:IL44))," ")</f>
        <v xml:space="preserve"> </v>
      </c>
      <c r="MO44" s="102">
        <f>IFERROR(ROWS($IL$8:IL44)," ")</f>
        <v>37</v>
      </c>
      <c r="MP44" s="103" t="str">
        <f>IFERROR(IF([1]Checklist!$C$12='GenInfo (2)'!E44,'GenInfo (2)'!MO44," ")," ")</f>
        <v xml:space="preserve"> </v>
      </c>
      <c r="MQ44" s="104" t="str">
        <f>IFERROR(SMALL($MP$8:$MP$94,ROWS($IL$8:IL44))," ")</f>
        <v xml:space="preserve"> </v>
      </c>
      <c r="MR44" s="102">
        <f>IFERROR(ROWS($IL$8:IL44)," ")</f>
        <v>37</v>
      </c>
      <c r="MS44" s="103" t="str">
        <f>IFERROR(IF([1]Checklist!$C$13='GenInfo (2)'!E44,'GenInfo (2)'!MR44," ")," ")</f>
        <v xml:space="preserve"> </v>
      </c>
      <c r="MT44" s="104" t="str">
        <f>IFERROR(SMALL($MS$8:$MS$94,ROWS($IL$8:IL44))," ")</f>
        <v xml:space="preserve"> </v>
      </c>
      <c r="MU44" s="102">
        <f>IFERROR(ROWS($IL$8:IL44)," ")</f>
        <v>37</v>
      </c>
      <c r="MV44" s="103" t="str">
        <f>IFERROR(IF([1]Checklist!$C$14='GenInfo (2)'!E44,'GenInfo (2)'!MU44," ")," ")</f>
        <v xml:space="preserve"> </v>
      </c>
      <c r="MW44" s="104" t="str">
        <f>IFERROR(SMALL($MV$8:$MV$94,ROWS($IL$8:IL44))," ")</f>
        <v xml:space="preserve"> </v>
      </c>
      <c r="MX44" s="102">
        <f>IFERROR(ROWS($IL$8:IL44)," ")</f>
        <v>37</v>
      </c>
      <c r="MY44" s="103">
        <f>IFERROR(IF([1]Checklist!$C$15='GenInfo (2)'!E44,'GenInfo (2)'!MX44," ")," ")</f>
        <v>37</v>
      </c>
      <c r="MZ44" s="104" t="str">
        <f>IFERROR(SMALL($MY$8:$MY$94,ROWS($IL$8:IL44))," ")</f>
        <v xml:space="preserve"> </v>
      </c>
      <c r="NA44" s="102">
        <f>IFERROR(ROWS($IL$8:IL44)," ")</f>
        <v>37</v>
      </c>
      <c r="NB44" s="103" t="str">
        <f>IFERROR(IF([1]Checklist!$C$16='GenInfo (2)'!E44,'GenInfo (2)'!NA44," ")," ")</f>
        <v xml:space="preserve"> </v>
      </c>
      <c r="NC44" s="104" t="str">
        <f>IFERROR(SMALL($NB$8:$NB$94,ROWS($IL$8:IL44))," ")</f>
        <v xml:space="preserve"> </v>
      </c>
      <c r="ND44" s="102">
        <f>IFERROR(ROWS($IL$8:IL44)," ")</f>
        <v>37</v>
      </c>
      <c r="NE44" s="103" t="str">
        <f>IFERROR(IF([1]Checklist!$C$17='GenInfo (2)'!E44,'GenInfo (2)'!ND44," ")," ")</f>
        <v xml:space="preserve"> </v>
      </c>
      <c r="NF44" s="104" t="str">
        <f>IFERROR(SMALL($NE$8:$NE$94,ROWS($IL$8:IL44))," ")</f>
        <v xml:space="preserve"> </v>
      </c>
    </row>
    <row r="45" spans="1:370" ht="14.25" x14ac:dyDescent="0.45">
      <c r="A45" s="37" t="s">
        <v>213</v>
      </c>
      <c r="B45" s="37">
        <v>235</v>
      </c>
      <c r="C45" s="146" t="s">
        <v>606</v>
      </c>
      <c r="D45" t="s">
        <v>607</v>
      </c>
      <c r="E45" s="106" t="s">
        <v>573</v>
      </c>
      <c r="F45" s="96" t="s">
        <v>608</v>
      </c>
      <c r="G45" s="107" t="s">
        <v>342</v>
      </c>
      <c r="H45" s="96"/>
      <c r="I45" s="131" t="s">
        <v>609</v>
      </c>
      <c r="J45" s="96" t="s">
        <v>610</v>
      </c>
      <c r="K45" s="111"/>
      <c r="L45" s="108" t="s">
        <v>221</v>
      </c>
      <c r="M45" s="108" t="s">
        <v>221</v>
      </c>
      <c r="N45" s="108"/>
      <c r="O45" s="109" t="s">
        <v>221</v>
      </c>
      <c r="P45" s="108"/>
      <c r="Q45" s="108"/>
      <c r="R45" s="96"/>
      <c r="S45" s="108"/>
      <c r="T45" s="96"/>
      <c r="U45" s="111"/>
      <c r="V45" s="108">
        <v>43386</v>
      </c>
      <c r="W45" s="108">
        <v>43817</v>
      </c>
      <c r="X45" s="110" t="s">
        <v>611</v>
      </c>
      <c r="Y45" s="108"/>
      <c r="Z45" s="110"/>
      <c r="AA45" s="62"/>
      <c r="AB45" s="96" t="s">
        <v>612</v>
      </c>
      <c r="AC45" s="96" t="s">
        <v>613</v>
      </c>
      <c r="AD45" s="96"/>
      <c r="AE45" s="96" t="s">
        <v>285</v>
      </c>
      <c r="AF45" s="96" t="s">
        <v>614</v>
      </c>
      <c r="AG45" s="96"/>
      <c r="AH45" s="96" t="s">
        <v>251</v>
      </c>
      <c r="AI45" s="96" t="s">
        <v>230</v>
      </c>
      <c r="AJ45" s="96">
        <v>60643</v>
      </c>
      <c r="AK45" s="62"/>
      <c r="AL45" s="71">
        <f t="shared" si="95"/>
        <v>17</v>
      </c>
      <c r="AM45" s="71">
        <f t="shared" ca="1" si="129"/>
        <v>20</v>
      </c>
      <c r="AN45" s="108">
        <v>36945</v>
      </c>
      <c r="AO45" s="72">
        <f t="shared" ca="1" si="97"/>
        <v>0</v>
      </c>
      <c r="AP45" s="96" t="s">
        <v>231</v>
      </c>
      <c r="AQ45" s="73" t="s">
        <v>264</v>
      </c>
      <c r="AR45" s="107" t="s">
        <v>233</v>
      </c>
      <c r="AS45" s="96">
        <v>3</v>
      </c>
      <c r="AT45" s="96"/>
      <c r="AU45" s="96"/>
      <c r="AV45" s="96"/>
      <c r="AW45" s="96"/>
      <c r="AX45" s="96" t="s">
        <v>253</v>
      </c>
      <c r="AY45" s="96" t="s">
        <v>290</v>
      </c>
      <c r="AZ45" s="96" t="s">
        <v>235</v>
      </c>
      <c r="BA45" s="96" t="s">
        <v>235</v>
      </c>
      <c r="BB45" s="96"/>
      <c r="BC45" s="114"/>
      <c r="BD45" s="62"/>
      <c r="BE45" s="71">
        <f t="shared" si="98"/>
        <v>2</v>
      </c>
      <c r="BF45" s="71">
        <f t="shared" si="98"/>
        <v>2</v>
      </c>
      <c r="BG45" s="71">
        <f t="shared" si="99"/>
        <v>0</v>
      </c>
      <c r="BH45" s="74">
        <f t="shared" si="100"/>
        <v>0.55277777777777781</v>
      </c>
      <c r="BI45" s="75">
        <f t="shared" si="101"/>
        <v>0</v>
      </c>
      <c r="BJ45" s="71">
        <f t="shared" si="102"/>
        <v>2</v>
      </c>
      <c r="BK45" s="75">
        <f t="shared" si="103"/>
        <v>1</v>
      </c>
      <c r="BL45" s="76">
        <f t="shared" si="104"/>
        <v>12</v>
      </c>
      <c r="BM45" s="77">
        <f t="shared" si="104"/>
        <v>32</v>
      </c>
      <c r="BN45" s="114"/>
      <c r="BO45" s="110"/>
      <c r="BP45" s="110"/>
      <c r="BQ45" s="115">
        <v>11</v>
      </c>
      <c r="BR45" s="115">
        <v>8</v>
      </c>
      <c r="BS45" s="74">
        <f t="shared" si="108"/>
        <v>0.72727272727272729</v>
      </c>
      <c r="BT45" s="79">
        <v>0</v>
      </c>
      <c r="BU45" s="79">
        <v>0</v>
      </c>
      <c r="BV45" s="80">
        <v>0</v>
      </c>
      <c r="BW45" s="81">
        <v>0</v>
      </c>
      <c r="BX45" s="114"/>
      <c r="BY45" s="110"/>
      <c r="BZ45" s="110"/>
      <c r="CA45" s="114">
        <v>0</v>
      </c>
      <c r="CB45" s="115">
        <v>0</v>
      </c>
      <c r="CC45" s="74" t="str">
        <f t="shared" si="109"/>
        <v xml:space="preserve"> </v>
      </c>
      <c r="CD45" s="79">
        <v>0</v>
      </c>
      <c r="CE45" s="81">
        <v>0</v>
      </c>
      <c r="CF45" s="119"/>
      <c r="CG45" s="119"/>
      <c r="CH45" s="119"/>
      <c r="CI45" s="114">
        <v>20</v>
      </c>
      <c r="CJ45" s="114">
        <v>11</v>
      </c>
      <c r="CK45" s="74">
        <f t="shared" si="110"/>
        <v>0.55000000000000004</v>
      </c>
      <c r="CL45" s="79">
        <v>0</v>
      </c>
      <c r="CM45" s="79">
        <v>2</v>
      </c>
      <c r="CN45" s="86">
        <v>2</v>
      </c>
      <c r="CO45" s="81">
        <v>12</v>
      </c>
      <c r="CP45" s="120"/>
      <c r="CQ45" s="121"/>
      <c r="CR45" s="121"/>
      <c r="CS45" s="116"/>
      <c r="CT45" s="116"/>
      <c r="CU45" s="74" t="str">
        <f t="shared" si="111"/>
        <v xml:space="preserve"> </v>
      </c>
      <c r="CV45" s="79">
        <v>10</v>
      </c>
      <c r="CW45" s="79">
        <v>10</v>
      </c>
      <c r="CX45" s="88">
        <v>20</v>
      </c>
      <c r="CY45" s="81">
        <v>120</v>
      </c>
      <c r="CZ45" s="122"/>
      <c r="DA45" s="108"/>
      <c r="DB45" s="108"/>
      <c r="DC45" s="114">
        <v>9</v>
      </c>
      <c r="DD45" s="114">
        <v>5</v>
      </c>
      <c r="DE45" s="74">
        <f t="shared" si="112"/>
        <v>0.55555555555555558</v>
      </c>
      <c r="DF45" s="79">
        <v>0</v>
      </c>
      <c r="DG45" s="79">
        <v>0</v>
      </c>
      <c r="DH45" s="79">
        <v>0</v>
      </c>
      <c r="DI45" s="81">
        <v>0</v>
      </c>
      <c r="DJ45" s="122"/>
      <c r="DK45" s="108"/>
      <c r="DL45" s="108"/>
      <c r="DM45" s="114"/>
      <c r="DN45" s="114"/>
      <c r="DO45" s="74" t="str">
        <f t="shared" si="113"/>
        <v xml:space="preserve"> </v>
      </c>
      <c r="DP45" s="79">
        <v>0</v>
      </c>
      <c r="DQ45" s="79">
        <v>0</v>
      </c>
      <c r="DR45" s="79">
        <v>0</v>
      </c>
      <c r="DS45" s="81">
        <v>0</v>
      </c>
      <c r="DT45" s="122"/>
      <c r="DU45" s="108"/>
      <c r="DV45" s="108"/>
      <c r="DW45" s="114"/>
      <c r="DX45" s="114"/>
      <c r="DY45" s="74" t="str">
        <f t="shared" si="114"/>
        <v xml:space="preserve"> </v>
      </c>
      <c r="DZ45" s="90">
        <v>0</v>
      </c>
      <c r="EA45" s="90">
        <v>0</v>
      </c>
      <c r="EB45" s="90">
        <v>0</v>
      </c>
      <c r="EC45" s="91">
        <v>0</v>
      </c>
      <c r="ED45" s="122"/>
      <c r="EE45" s="108"/>
      <c r="EF45" s="108"/>
      <c r="EG45" s="114"/>
      <c r="EH45" s="114"/>
      <c r="EI45" s="74" t="str">
        <f t="shared" si="105"/>
        <v xml:space="preserve"> </v>
      </c>
      <c r="EJ45" s="92">
        <v>0</v>
      </c>
      <c r="EK45" s="92">
        <v>0</v>
      </c>
      <c r="EL45" s="92">
        <v>0</v>
      </c>
      <c r="EM45" s="93">
        <v>0</v>
      </c>
      <c r="EN45" s="122"/>
      <c r="EO45" s="108"/>
      <c r="EP45" s="108"/>
      <c r="EQ45" s="114"/>
      <c r="ER45" s="114"/>
      <c r="ES45" s="74" t="str">
        <f t="shared" si="106"/>
        <v xml:space="preserve"> </v>
      </c>
      <c r="ET45" s="94">
        <v>0</v>
      </c>
      <c r="EU45" s="90"/>
      <c r="EV45" s="94">
        <v>0</v>
      </c>
      <c r="EW45" s="95">
        <v>0</v>
      </c>
      <c r="EX45" s="122"/>
      <c r="EY45" s="108"/>
      <c r="EZ45" s="108"/>
      <c r="FA45" s="114"/>
      <c r="FB45" s="114"/>
      <c r="FC45" s="74" t="str">
        <f t="shared" si="115"/>
        <v xml:space="preserve"> </v>
      </c>
      <c r="FD45" s="90"/>
      <c r="FE45" s="90"/>
      <c r="FF45" s="90"/>
      <c r="FG45" s="90"/>
      <c r="FH45" s="76">
        <f t="shared" si="116"/>
        <v>0</v>
      </c>
      <c r="FI45" s="122"/>
      <c r="FJ45" s="108"/>
      <c r="FK45" s="108"/>
      <c r="FL45" s="114"/>
      <c r="FM45" s="114"/>
      <c r="FN45" s="74" t="str">
        <f t="shared" si="117"/>
        <v xml:space="preserve"> </v>
      </c>
      <c r="FO45" s="90"/>
      <c r="FP45" s="90"/>
      <c r="FQ45" s="90"/>
      <c r="FR45" s="90"/>
      <c r="FS45" s="76">
        <f t="shared" si="118"/>
        <v>0</v>
      </c>
      <c r="FT45" s="122"/>
      <c r="FU45" s="108"/>
      <c r="FV45" s="108"/>
      <c r="FW45" s="114"/>
      <c r="FX45" s="114"/>
      <c r="FY45" s="74" t="str">
        <f t="shared" si="119"/>
        <v xml:space="preserve"> </v>
      </c>
      <c r="FZ45" s="90"/>
      <c r="GA45" s="90"/>
      <c r="GB45" s="90"/>
      <c r="GC45" s="90"/>
      <c r="GD45" s="76">
        <f t="shared" si="120"/>
        <v>0</v>
      </c>
      <c r="GE45" s="107"/>
      <c r="GF45" s="96">
        <v>16.5</v>
      </c>
      <c r="GG45" s="96" t="s">
        <v>236</v>
      </c>
      <c r="GH45" s="79"/>
      <c r="GI45" s="63" t="s">
        <v>221</v>
      </c>
      <c r="GJ45" s="63" t="s">
        <v>221</v>
      </c>
      <c r="GK45" s="97">
        <f t="shared" si="84"/>
        <v>0</v>
      </c>
      <c r="GL45" s="63" t="s">
        <v>221</v>
      </c>
      <c r="GM45" s="79"/>
      <c r="GN45" s="97">
        <f t="shared" si="121"/>
        <v>0</v>
      </c>
      <c r="GO45" s="97">
        <f t="shared" si="122"/>
        <v>16.5</v>
      </c>
      <c r="GP45" s="62"/>
      <c r="GQ45" s="96" t="s">
        <v>213</v>
      </c>
      <c r="GR45" s="96" t="s">
        <v>213</v>
      </c>
      <c r="GS45" s="96" t="s">
        <v>213</v>
      </c>
      <c r="GT45" s="96" t="s">
        <v>213</v>
      </c>
      <c r="GU45" s="96" t="s">
        <v>213</v>
      </c>
      <c r="GV45" s="96" t="s">
        <v>213</v>
      </c>
      <c r="GW45" s="96" t="s">
        <v>213</v>
      </c>
      <c r="GX45" s="96" t="s">
        <v>213</v>
      </c>
      <c r="GY45" s="65" t="str">
        <f>IFERROR(IF(IN45&gt;0,"X",""),"")</f>
        <v>X</v>
      </c>
      <c r="GZ45" s="65" t="str">
        <f>IFERROR(IF(JC45&gt;0,"X",""),"")</f>
        <v>X</v>
      </c>
      <c r="HA45" s="100" t="s">
        <v>213</v>
      </c>
      <c r="HB45" s="100" t="s">
        <v>213</v>
      </c>
      <c r="HC45" s="100" t="s">
        <v>213</v>
      </c>
      <c r="HD45" s="100" t="s">
        <v>213</v>
      </c>
      <c r="HE45" s="100" t="s">
        <v>213</v>
      </c>
      <c r="HF45" s="100" t="s">
        <v>213</v>
      </c>
      <c r="HG45" s="100" t="s">
        <v>213</v>
      </c>
      <c r="HH45" s="100">
        <v>0</v>
      </c>
      <c r="HI45" s="100">
        <v>0</v>
      </c>
      <c r="HJ45" s="100">
        <v>0</v>
      </c>
      <c r="HK45" s="100">
        <v>0</v>
      </c>
      <c r="HL45" s="65" t="str">
        <f>IFERROR(IF(OR(IQ45&gt;0,IR45&gt;0,IS45&gt;0),"x",""),"")</f>
        <v>x</v>
      </c>
      <c r="HM45" s="65" t="str">
        <f t="shared" si="124"/>
        <v/>
      </c>
      <c r="HN45" s="65" t="str">
        <f>IFERROR(IF(OR(IW45&gt;0,IX45&gt;0,IY45&gt;0,IZ45&gt;0),"x",""),"")</f>
        <v/>
      </c>
      <c r="HO45" s="65" t="str">
        <f>IFERROR(IF(OR(JE45&gt;0,JF45&gt;0,JG45&gt;0,JH45&gt;0),"x",""),"")</f>
        <v>x</v>
      </c>
      <c r="HP45" s="65" t="str">
        <f t="shared" si="130"/>
        <v/>
      </c>
      <c r="HQ45" s="65" t="str">
        <f>IFERROR(IF(OR(JL45&gt;0,JM45&gt;0,JN45&gt;0,JO45&gt;0),"x",""),"")</f>
        <v/>
      </c>
      <c r="HR45" s="96"/>
      <c r="HS45" s="96" t="s">
        <v>213</v>
      </c>
      <c r="HT45" s="96"/>
      <c r="HU45" s="96"/>
      <c r="HV45" s="96"/>
      <c r="HW45" s="96"/>
      <c r="HX45" s="96"/>
      <c r="HY45" s="96"/>
      <c r="HZ45" s="96" t="s">
        <v>213</v>
      </c>
      <c r="IA45" s="96"/>
      <c r="IB45" s="96"/>
      <c r="IC45" s="96" t="s">
        <v>213</v>
      </c>
      <c r="ID45" s="63" t="s">
        <v>240</v>
      </c>
      <c r="IE45" s="100" t="s">
        <v>213</v>
      </c>
      <c r="IF45" s="100" t="s">
        <v>213</v>
      </c>
      <c r="IG45" s="100" t="s">
        <v>213</v>
      </c>
      <c r="IH45" s="100" t="s">
        <v>213</v>
      </c>
      <c r="II45" s="100" t="s">
        <v>213</v>
      </c>
      <c r="IJ45" s="100" t="s">
        <v>213</v>
      </c>
      <c r="IK45" s="100" t="s">
        <v>213</v>
      </c>
      <c r="IL45" s="100">
        <v>0</v>
      </c>
      <c r="IM45" s="96"/>
      <c r="IN45" s="125">
        <v>3.8</v>
      </c>
      <c r="IO45" s="125"/>
      <c r="IP45" s="96"/>
      <c r="IQ45" s="96">
        <v>2.6</v>
      </c>
      <c r="IR45" s="96"/>
      <c r="IS45" s="96"/>
      <c r="IT45" s="96"/>
      <c r="IU45" s="96"/>
      <c r="IV45" s="96"/>
      <c r="IW45" s="96"/>
      <c r="IX45" s="96"/>
      <c r="IY45" s="96"/>
      <c r="IZ45" s="96"/>
      <c r="JA45" s="65">
        <f t="shared" si="107"/>
        <v>1</v>
      </c>
      <c r="JB45" s="96"/>
      <c r="JC45" s="125">
        <v>5</v>
      </c>
      <c r="JD45" s="125"/>
      <c r="JE45" s="96"/>
      <c r="JF45" s="96">
        <v>1.9</v>
      </c>
      <c r="JG45" s="96"/>
      <c r="JH45" s="96"/>
      <c r="JI45" s="96"/>
      <c r="JJ45" s="96"/>
      <c r="JK45" s="96"/>
      <c r="JL45" s="96"/>
      <c r="JM45" s="96"/>
      <c r="JN45" s="63"/>
      <c r="JO45" s="63"/>
      <c r="JP45" s="63"/>
      <c r="JQ45" s="63"/>
      <c r="LM45" s="205"/>
      <c r="LN45" s="102">
        <f>IFERROR(ROWS($IL$8:IL45)," ")</f>
        <v>38</v>
      </c>
      <c r="LO45" s="103" t="str">
        <f>IFERROR(IF([1]Checklist!$C$3='GenInfo (2)'!E45,'GenInfo (2)'!LN45," ")," ")</f>
        <v xml:space="preserve"> </v>
      </c>
      <c r="LP45" s="104" t="str">
        <f>IFERROR(SMALL($LO$8:$LO$94,ROWS($IL$8:IL45))," ")</f>
        <v xml:space="preserve"> </v>
      </c>
      <c r="LQ45" s="102">
        <f>IFERROR(ROWS($IL$8:IL45)," ")</f>
        <v>38</v>
      </c>
      <c r="LR45" s="103" t="str">
        <f>IFERROR(IF([1]Checklist!$C$4='GenInfo (2)'!E45,'GenInfo (2)'!LQ45," ")," ")</f>
        <v xml:space="preserve"> </v>
      </c>
      <c r="LS45" s="104" t="str">
        <f>IFERROR(SMALL($LR$8:$LR$94,ROWS($IL$8:IL45))," ")</f>
        <v xml:space="preserve"> </v>
      </c>
      <c r="LT45" s="102">
        <f>IFERROR(ROWS($IL$8:IL45)," ")</f>
        <v>38</v>
      </c>
      <c r="LU45" s="103" t="str">
        <f>IFERROR(IF([1]Checklist!$C$5='GenInfo (2)'!E45,'GenInfo (2)'!LT45," ")," ")</f>
        <v xml:space="preserve"> </v>
      </c>
      <c r="LV45" s="104" t="str">
        <f>IFERROR(SMALL($LU$8:$LU$94,ROWS($IL$8:IL45))," ")</f>
        <v xml:space="preserve"> </v>
      </c>
      <c r="LW45" s="102">
        <f>IFERROR(ROWS($IL$8:IL45)," ")</f>
        <v>38</v>
      </c>
      <c r="LX45" s="103" t="str">
        <f>IFERROR(IF([1]Checklist!$C$6='GenInfo (2)'!E45,'GenInfo (2)'!LW45," ")," ")</f>
        <v xml:space="preserve"> </v>
      </c>
      <c r="LY45" s="104" t="str">
        <f>IFERROR(SMALL($LX$8:$LX$94,ROWS($IL$8:IL45))," ")</f>
        <v xml:space="preserve"> </v>
      </c>
      <c r="LZ45" s="102">
        <f>IFERROR(ROWS($IL$8:IL45)," ")</f>
        <v>38</v>
      </c>
      <c r="MA45" s="103" t="str">
        <f>IFERROR(IF([1]Checklist!$C$7='GenInfo (2)'!E45,'GenInfo (2)'!LZ45," ")," ")</f>
        <v xml:space="preserve"> </v>
      </c>
      <c r="MB45" s="104" t="str">
        <f>IFERROR(SMALL($MA$8:$MA$94,ROWS($IL$8:IL45))," ")</f>
        <v xml:space="preserve"> </v>
      </c>
      <c r="MC45" s="102">
        <f>IFERROR(ROWS($IL$8:IL45)," ")</f>
        <v>38</v>
      </c>
      <c r="MD45" s="103" t="str">
        <f>IFERROR(IF([1]Checklist!$C$8='GenInfo (2)'!E45,'GenInfo (2)'!MC45," ")," ")</f>
        <v xml:space="preserve"> </v>
      </c>
      <c r="ME45" s="104" t="str">
        <f>IFERROR(SMALL($MD$8:$MD$94,ROWS($IL$8:IL45))," ")</f>
        <v xml:space="preserve"> </v>
      </c>
      <c r="MF45" s="102">
        <f>IFERROR(ROWS($IL$8:IL45)," ")</f>
        <v>38</v>
      </c>
      <c r="MG45" s="103" t="str">
        <f>IFERROR(IF([1]Checklist!$C$9='GenInfo (2)'!E45,'GenInfo (2)'!MF45," ")," ")</f>
        <v xml:space="preserve"> </v>
      </c>
      <c r="MH45" s="104" t="str">
        <f>IFERROR(SMALL($MG$8:$MG$94,ROWS($IL$8:IL45))," ")</f>
        <v xml:space="preserve"> </v>
      </c>
      <c r="MI45" s="102">
        <f>IFERROR(ROWS($IL$8:$IL45)," ")</f>
        <v>38</v>
      </c>
      <c r="MJ45" s="103" t="str">
        <f>IFERROR(IF([1]Checklist!$C$10='GenInfo (2)'!E45,'GenInfo (2)'!MI45," ")," ")</f>
        <v xml:space="preserve"> </v>
      </c>
      <c r="MK45" s="104" t="str">
        <f>IFERROR(SMALL($MJ$8:$MJ$94,ROWS($IL$8:IL45))," ")</f>
        <v xml:space="preserve"> </v>
      </c>
      <c r="ML45" s="102">
        <f>IFERROR(ROWS($IL$8:IL45)," ")</f>
        <v>38</v>
      </c>
      <c r="MM45" s="103" t="str">
        <f>IFERROR(IF([1]Checklist!$C$11='GenInfo (2)'!E45,'GenInfo (2)'!ML45," ")," ")</f>
        <v xml:space="preserve"> </v>
      </c>
      <c r="MN45" s="104" t="str">
        <f>IFERROR(SMALL($MM$8:$MM$94,ROWS($IL$8:IL45))," ")</f>
        <v xml:space="preserve"> </v>
      </c>
      <c r="MO45" s="102">
        <f>IFERROR(ROWS($IL$8:IL45)," ")</f>
        <v>38</v>
      </c>
      <c r="MP45" s="103" t="str">
        <f>IFERROR(IF([1]Checklist!$C$12='GenInfo (2)'!E45,'GenInfo (2)'!MO45," ")," ")</f>
        <v xml:space="preserve"> </v>
      </c>
      <c r="MQ45" s="104" t="str">
        <f>IFERROR(SMALL($MP$8:$MP$94,ROWS($IL$8:IL45))," ")</f>
        <v xml:space="preserve"> </v>
      </c>
      <c r="MR45" s="102">
        <f>IFERROR(ROWS($IL$8:IL45)," ")</f>
        <v>38</v>
      </c>
      <c r="MS45" s="103" t="str">
        <f>IFERROR(IF([1]Checklist!$C$13='GenInfo (2)'!E45,'GenInfo (2)'!MR45," ")," ")</f>
        <v xml:space="preserve"> </v>
      </c>
      <c r="MT45" s="104" t="str">
        <f>IFERROR(SMALL($MS$8:$MS$94,ROWS($IL$8:IL45))," ")</f>
        <v xml:space="preserve"> </v>
      </c>
      <c r="MU45" s="102">
        <f>IFERROR(ROWS($IL$8:IL45)," ")</f>
        <v>38</v>
      </c>
      <c r="MV45" s="103" t="str">
        <f>IFERROR(IF([1]Checklist!$C$14='GenInfo (2)'!E45,'GenInfo (2)'!MU45," ")," ")</f>
        <v xml:space="preserve"> </v>
      </c>
      <c r="MW45" s="104" t="str">
        <f>IFERROR(SMALL($MV$8:$MV$94,ROWS($IL$8:IL45))," ")</f>
        <v xml:space="preserve"> </v>
      </c>
      <c r="MX45" s="102">
        <f>IFERROR(ROWS($IL$8:IL45)," ")</f>
        <v>38</v>
      </c>
      <c r="MY45" s="103">
        <f>IFERROR(IF([1]Checklist!$C$15='GenInfo (2)'!E45,'GenInfo (2)'!MX45," ")," ")</f>
        <v>38</v>
      </c>
      <c r="MZ45" s="104" t="str">
        <f>IFERROR(SMALL($MY$8:$MY$94,ROWS($IL$8:IL45))," ")</f>
        <v xml:space="preserve"> </v>
      </c>
      <c r="NA45" s="102">
        <f>IFERROR(ROWS($IL$8:IL45)," ")</f>
        <v>38</v>
      </c>
      <c r="NB45" s="103" t="str">
        <f>IFERROR(IF([1]Checklist!$C$16='GenInfo (2)'!E45,'GenInfo (2)'!NA45," ")," ")</f>
        <v xml:space="preserve"> </v>
      </c>
      <c r="NC45" s="104" t="str">
        <f>IFERROR(SMALL($NB$8:$NB$94,ROWS($IL$8:IL45))," ")</f>
        <v xml:space="preserve"> </v>
      </c>
      <c r="ND45" s="102">
        <f>IFERROR(ROWS($IL$8:IL45)," ")</f>
        <v>38</v>
      </c>
      <c r="NE45" s="103" t="str">
        <f>IFERROR(IF([1]Checklist!$C$17='GenInfo (2)'!E45,'GenInfo (2)'!ND45," ")," ")</f>
        <v xml:space="preserve"> </v>
      </c>
      <c r="NF45" s="104" t="str">
        <f>IFERROR(SMALL($NE$8:$NE$94,ROWS($IL$8:IL45))," ")</f>
        <v xml:space="preserve"> </v>
      </c>
    </row>
    <row r="46" spans="1:370" ht="14.25" x14ac:dyDescent="0.45">
      <c r="A46" s="37" t="s">
        <v>213</v>
      </c>
      <c r="B46" s="37">
        <v>240</v>
      </c>
      <c r="C46" s="146" t="s">
        <v>615</v>
      </c>
      <c r="D46" t="s">
        <v>616</v>
      </c>
      <c r="E46" s="106" t="s">
        <v>573</v>
      </c>
      <c r="F46" s="96" t="s">
        <v>617</v>
      </c>
      <c r="G46" s="107" t="s">
        <v>218</v>
      </c>
      <c r="H46" s="96"/>
      <c r="I46" s="131" t="s">
        <v>618</v>
      </c>
      <c r="J46" s="96" t="s">
        <v>619</v>
      </c>
      <c r="K46" s="111"/>
      <c r="L46" s="108">
        <v>43713</v>
      </c>
      <c r="M46" s="108">
        <v>43713</v>
      </c>
      <c r="N46" s="108" t="s">
        <v>213</v>
      </c>
      <c r="O46" s="109">
        <v>43709</v>
      </c>
      <c r="P46" s="108">
        <v>43726</v>
      </c>
      <c r="Q46" s="108">
        <v>43756</v>
      </c>
      <c r="R46" s="96"/>
      <c r="S46" s="108"/>
      <c r="T46" s="96"/>
      <c r="U46" s="111"/>
      <c r="V46" s="108">
        <v>43759</v>
      </c>
      <c r="W46" s="63" t="s">
        <v>222</v>
      </c>
      <c r="X46" s="110"/>
      <c r="Y46" s="108"/>
      <c r="Z46" s="110"/>
      <c r="AA46" s="62"/>
      <c r="AB46" s="96" t="s">
        <v>620</v>
      </c>
      <c r="AC46" s="96" t="s">
        <v>621</v>
      </c>
      <c r="AD46" s="96" t="s">
        <v>622</v>
      </c>
      <c r="AE46" s="96" t="s">
        <v>263</v>
      </c>
      <c r="AF46" s="96" t="s">
        <v>623</v>
      </c>
      <c r="AG46" s="96"/>
      <c r="AH46" s="96" t="s">
        <v>275</v>
      </c>
      <c r="AI46" s="96" t="s">
        <v>230</v>
      </c>
      <c r="AJ46" s="96">
        <v>60443</v>
      </c>
      <c r="AK46" s="62"/>
      <c r="AL46" s="71">
        <f t="shared" si="95"/>
        <v>15</v>
      </c>
      <c r="AM46" s="71">
        <f t="shared" ca="1" si="129"/>
        <v>17</v>
      </c>
      <c r="AN46" s="108">
        <v>38216</v>
      </c>
      <c r="AO46" s="72">
        <f t="shared" ca="1" si="97"/>
        <v>42</v>
      </c>
      <c r="AP46" s="108" t="s">
        <v>313</v>
      </c>
      <c r="AQ46" s="73" t="s">
        <v>264</v>
      </c>
      <c r="AR46" s="107" t="s">
        <v>233</v>
      </c>
      <c r="AS46" s="96">
        <v>3</v>
      </c>
      <c r="AT46" s="96">
        <v>90</v>
      </c>
      <c r="AU46" s="96">
        <v>16</v>
      </c>
      <c r="AV46" s="96">
        <v>3</v>
      </c>
      <c r="AW46" s="96">
        <v>90</v>
      </c>
      <c r="AX46" s="96" t="s">
        <v>236</v>
      </c>
      <c r="AY46" s="96" t="s">
        <v>290</v>
      </c>
      <c r="AZ46" s="96" t="s">
        <v>235</v>
      </c>
      <c r="BA46" s="96" t="s">
        <v>235</v>
      </c>
      <c r="BB46" s="96"/>
      <c r="BC46" s="96"/>
      <c r="BD46" s="62"/>
      <c r="BE46" s="71">
        <f t="shared" si="98"/>
        <v>3</v>
      </c>
      <c r="BF46" s="71">
        <f t="shared" si="98"/>
        <v>3</v>
      </c>
      <c r="BG46" s="71">
        <f t="shared" si="99"/>
        <v>0</v>
      </c>
      <c r="BH46" s="74">
        <f t="shared" si="100"/>
        <v>0.78989898989898988</v>
      </c>
      <c r="BI46" s="75">
        <f t="shared" si="101"/>
        <v>0</v>
      </c>
      <c r="BJ46" s="71">
        <f t="shared" si="102"/>
        <v>1</v>
      </c>
      <c r="BK46" s="75">
        <f t="shared" si="103"/>
        <v>0.33333333333333331</v>
      </c>
      <c r="BL46" s="76">
        <f t="shared" si="104"/>
        <v>14</v>
      </c>
      <c r="BM46" s="77">
        <f t="shared" si="104"/>
        <v>84</v>
      </c>
      <c r="BN46" s="114"/>
      <c r="BO46" s="108"/>
      <c r="BP46" s="108"/>
      <c r="BQ46" s="96"/>
      <c r="BR46" s="96"/>
      <c r="BS46" s="74" t="str">
        <f t="shared" si="108"/>
        <v xml:space="preserve"> </v>
      </c>
      <c r="BT46" s="79">
        <v>0</v>
      </c>
      <c r="BU46" s="79">
        <v>0</v>
      </c>
      <c r="BV46" s="80">
        <v>0</v>
      </c>
      <c r="BW46" s="81">
        <v>0</v>
      </c>
      <c r="BX46" s="114"/>
      <c r="BY46" s="108"/>
      <c r="BZ46" s="108"/>
      <c r="CA46" s="96"/>
      <c r="CB46" s="96"/>
      <c r="CC46" s="74" t="str">
        <f t="shared" si="109"/>
        <v xml:space="preserve"> </v>
      </c>
      <c r="CD46" s="79">
        <v>0</v>
      </c>
      <c r="CE46" s="81">
        <v>0</v>
      </c>
      <c r="CF46" s="119"/>
      <c r="CG46" s="119"/>
      <c r="CH46" s="119"/>
      <c r="CI46" s="114"/>
      <c r="CJ46" s="114"/>
      <c r="CK46" s="74" t="str">
        <f t="shared" si="110"/>
        <v xml:space="preserve"> </v>
      </c>
      <c r="CL46" s="79">
        <v>0</v>
      </c>
      <c r="CM46" s="79">
        <v>0</v>
      </c>
      <c r="CN46" s="86">
        <v>0</v>
      </c>
      <c r="CO46" s="81">
        <v>0</v>
      </c>
      <c r="CP46" s="120"/>
      <c r="CQ46" s="121"/>
      <c r="CR46" s="121"/>
      <c r="CS46" s="116"/>
      <c r="CT46" s="116"/>
      <c r="CU46" s="74" t="str">
        <f t="shared" si="111"/>
        <v xml:space="preserve"> </v>
      </c>
      <c r="CV46" s="79">
        <v>0</v>
      </c>
      <c r="CW46" s="79">
        <v>0</v>
      </c>
      <c r="CX46" s="88">
        <v>0</v>
      </c>
      <c r="CY46" s="81">
        <v>0</v>
      </c>
      <c r="CZ46" s="122"/>
      <c r="DA46" s="108"/>
      <c r="DB46" s="108"/>
      <c r="DC46" s="114">
        <v>11</v>
      </c>
      <c r="DD46" s="114">
        <v>7</v>
      </c>
      <c r="DE46" s="74">
        <f t="shared" si="112"/>
        <v>0.63636363636363635</v>
      </c>
      <c r="DF46" s="79">
        <v>0</v>
      </c>
      <c r="DG46" s="79">
        <v>0</v>
      </c>
      <c r="DH46" s="79">
        <v>0</v>
      </c>
      <c r="DI46" s="81">
        <v>0</v>
      </c>
      <c r="DJ46" s="122"/>
      <c r="DK46" s="108"/>
      <c r="DL46" s="108"/>
      <c r="DM46" s="114">
        <v>15</v>
      </c>
      <c r="DN46" s="114">
        <v>11</v>
      </c>
      <c r="DO46" s="74">
        <f t="shared" si="113"/>
        <v>0.73333333333333328</v>
      </c>
      <c r="DP46" s="79">
        <v>0</v>
      </c>
      <c r="DQ46" s="79">
        <v>0</v>
      </c>
      <c r="DR46" s="79">
        <v>0</v>
      </c>
      <c r="DS46" s="81">
        <v>0</v>
      </c>
      <c r="DT46" s="122"/>
      <c r="DU46" s="108"/>
      <c r="DV46" s="108"/>
      <c r="DW46" s="114">
        <v>8</v>
      </c>
      <c r="DX46" s="114">
        <v>8</v>
      </c>
      <c r="DY46" s="74">
        <f t="shared" si="114"/>
        <v>1</v>
      </c>
      <c r="DZ46" s="90">
        <v>14</v>
      </c>
      <c r="EA46" s="90">
        <v>0</v>
      </c>
      <c r="EB46" s="90">
        <v>14</v>
      </c>
      <c r="EC46" s="91">
        <v>84</v>
      </c>
      <c r="ED46" s="122"/>
      <c r="EE46" s="108"/>
      <c r="EF46" s="108"/>
      <c r="EG46" s="114"/>
      <c r="EH46" s="114"/>
      <c r="EI46" s="74" t="str">
        <f t="shared" si="105"/>
        <v xml:space="preserve"> </v>
      </c>
      <c r="EJ46" s="92">
        <v>0</v>
      </c>
      <c r="EK46" s="92">
        <v>0</v>
      </c>
      <c r="EL46" s="92">
        <v>0</v>
      </c>
      <c r="EM46" s="93">
        <v>0</v>
      </c>
      <c r="EN46" s="122"/>
      <c r="EO46" s="108"/>
      <c r="EP46" s="108"/>
      <c r="EQ46" s="114"/>
      <c r="ER46" s="114"/>
      <c r="ES46" s="74" t="str">
        <f t="shared" si="106"/>
        <v xml:space="preserve"> </v>
      </c>
      <c r="ET46" s="94">
        <v>0</v>
      </c>
      <c r="EU46" s="90"/>
      <c r="EV46" s="94">
        <v>0</v>
      </c>
      <c r="EW46" s="95">
        <v>0</v>
      </c>
      <c r="EX46" s="122"/>
      <c r="EY46" s="108"/>
      <c r="EZ46" s="108"/>
      <c r="FA46" s="114"/>
      <c r="FB46" s="114"/>
      <c r="FC46" s="74" t="str">
        <f t="shared" si="115"/>
        <v xml:space="preserve"> </v>
      </c>
      <c r="FD46" s="90"/>
      <c r="FE46" s="90"/>
      <c r="FF46" s="90"/>
      <c r="FG46" s="90"/>
      <c r="FH46" s="76">
        <f t="shared" si="116"/>
        <v>0</v>
      </c>
      <c r="FI46" s="122"/>
      <c r="FJ46" s="108"/>
      <c r="FK46" s="108"/>
      <c r="FL46" s="114"/>
      <c r="FM46" s="114"/>
      <c r="FN46" s="74" t="str">
        <f t="shared" si="117"/>
        <v xml:space="preserve"> </v>
      </c>
      <c r="FO46" s="90"/>
      <c r="FP46" s="90"/>
      <c r="FQ46" s="90"/>
      <c r="FR46" s="90"/>
      <c r="FS46" s="76">
        <f t="shared" si="118"/>
        <v>0</v>
      </c>
      <c r="FT46" s="122"/>
      <c r="FU46" s="108"/>
      <c r="FV46" s="108"/>
      <c r="FW46" s="114"/>
      <c r="FX46" s="114"/>
      <c r="FY46" s="74" t="str">
        <f t="shared" si="119"/>
        <v xml:space="preserve"> </v>
      </c>
      <c r="FZ46" s="90"/>
      <c r="GA46" s="90"/>
      <c r="GB46" s="90"/>
      <c r="GC46" s="90"/>
      <c r="GD46" s="76">
        <f t="shared" si="120"/>
        <v>0</v>
      </c>
      <c r="GE46" s="96"/>
      <c r="GF46" s="96">
        <v>14</v>
      </c>
      <c r="GG46" s="96" t="s">
        <v>236</v>
      </c>
      <c r="GH46" s="96"/>
      <c r="GI46" s="63" t="s">
        <v>221</v>
      </c>
      <c r="GJ46" s="63" t="s">
        <v>221</v>
      </c>
      <c r="GK46" s="97">
        <f t="shared" si="84"/>
        <v>0</v>
      </c>
      <c r="GL46" s="63" t="s">
        <v>221</v>
      </c>
      <c r="GM46" s="79"/>
      <c r="GN46" s="97">
        <f t="shared" si="121"/>
        <v>0</v>
      </c>
      <c r="GO46" s="97">
        <f t="shared" si="122"/>
        <v>14</v>
      </c>
      <c r="GP46" s="62"/>
      <c r="GQ46" s="96" t="s">
        <v>459</v>
      </c>
      <c r="GR46" s="96" t="s">
        <v>213</v>
      </c>
      <c r="GS46" s="96"/>
      <c r="GT46" s="96" t="s">
        <v>237</v>
      </c>
      <c r="GU46" s="96" t="s">
        <v>213</v>
      </c>
      <c r="GV46" s="96" t="s">
        <v>237</v>
      </c>
      <c r="GW46" s="96" t="s">
        <v>213</v>
      </c>
      <c r="GX46" s="96" t="s">
        <v>213</v>
      </c>
      <c r="GY46" s="65" t="s">
        <v>237</v>
      </c>
      <c r="GZ46" s="65" t="s">
        <v>237</v>
      </c>
      <c r="HA46" s="96" t="s">
        <v>213</v>
      </c>
      <c r="HB46" s="96" t="s">
        <v>213</v>
      </c>
      <c r="HC46" s="96"/>
      <c r="HD46" s="96"/>
      <c r="HE46" s="96"/>
      <c r="HF46" s="96"/>
      <c r="HG46" s="96" t="s">
        <v>237</v>
      </c>
      <c r="HH46" s="96"/>
      <c r="HI46" s="96"/>
      <c r="HJ46" s="96"/>
      <c r="HK46" s="96"/>
      <c r="HL46" s="65" t="s">
        <v>239</v>
      </c>
      <c r="HM46" s="65" t="str">
        <f t="shared" si="124"/>
        <v/>
      </c>
      <c r="HN46" s="65" t="s">
        <v>239</v>
      </c>
      <c r="HO46" s="65" t="s">
        <v>239</v>
      </c>
      <c r="HP46" s="65" t="str">
        <f t="shared" si="130"/>
        <v/>
      </c>
      <c r="HQ46" s="65" t="s">
        <v>239</v>
      </c>
      <c r="HR46" s="96"/>
      <c r="HS46" s="96" t="s">
        <v>213</v>
      </c>
      <c r="HT46" s="96" t="s">
        <v>213</v>
      </c>
      <c r="HU46" s="63" t="s">
        <v>237</v>
      </c>
      <c r="HV46" s="96"/>
      <c r="HW46" s="96"/>
      <c r="HX46" s="96" t="s">
        <v>213</v>
      </c>
      <c r="HY46" s="96"/>
      <c r="HZ46" s="96" t="s">
        <v>239</v>
      </c>
      <c r="IA46" s="96" t="s">
        <v>213</v>
      </c>
      <c r="IB46" s="96"/>
      <c r="IC46" s="96" t="s">
        <v>213</v>
      </c>
      <c r="ID46" s="96" t="s">
        <v>240</v>
      </c>
      <c r="IE46" s="96" t="s">
        <v>213</v>
      </c>
      <c r="IF46" s="96" t="s">
        <v>213</v>
      </c>
      <c r="IG46" s="96" t="s">
        <v>213</v>
      </c>
      <c r="IH46" s="96" t="s">
        <v>213</v>
      </c>
      <c r="II46" s="96" t="s">
        <v>213</v>
      </c>
      <c r="IJ46" s="96" t="s">
        <v>213</v>
      </c>
      <c r="IK46" s="96" t="s">
        <v>213</v>
      </c>
      <c r="IL46" s="96"/>
      <c r="IM46" s="96"/>
      <c r="IN46" s="125"/>
      <c r="IO46" s="125"/>
      <c r="IP46" s="96"/>
      <c r="IQ46" s="96"/>
      <c r="IR46" s="96"/>
      <c r="IS46" s="96"/>
      <c r="IT46" s="96"/>
      <c r="IU46" s="96"/>
      <c r="IV46" s="96"/>
      <c r="IW46" s="96"/>
      <c r="IX46" s="96"/>
      <c r="IY46" s="96"/>
      <c r="IZ46" s="96"/>
      <c r="JA46" s="65">
        <f t="shared" si="107"/>
        <v>0</v>
      </c>
      <c r="JB46" s="96"/>
      <c r="JC46" s="125"/>
      <c r="JD46" s="125"/>
      <c r="JE46" s="96"/>
      <c r="JF46" s="96"/>
      <c r="JG46" s="96"/>
      <c r="JH46" s="96"/>
      <c r="JI46" s="96"/>
      <c r="JJ46" s="96"/>
      <c r="JK46" s="96"/>
      <c r="JL46" s="96"/>
      <c r="JM46" s="96"/>
      <c r="JN46" s="96"/>
      <c r="JO46" s="63"/>
      <c r="JP46" s="65">
        <f t="shared" ref="JP46:JP94" si="133">COUNTIF(JD46:JO46,"&gt;=0.0")</f>
        <v>0</v>
      </c>
      <c r="JQ46" s="96"/>
      <c r="LM46" s="205"/>
      <c r="LN46" s="102">
        <f>IFERROR(ROWS($IL$8:IL46)," ")</f>
        <v>39</v>
      </c>
      <c r="LO46" s="103" t="str">
        <f>IFERROR(IF([1]Checklist!$C$3='GenInfo (2)'!E46,'GenInfo (2)'!LN46," ")," ")</f>
        <v xml:space="preserve"> </v>
      </c>
      <c r="LP46" s="104" t="str">
        <f>IFERROR(SMALL($LO$8:$LO$94,ROWS($IL$8:IL46))," ")</f>
        <v xml:space="preserve"> </v>
      </c>
      <c r="LQ46" s="102">
        <f>IFERROR(ROWS($IL$8:IL46)," ")</f>
        <v>39</v>
      </c>
      <c r="LR46" s="103" t="str">
        <f>IFERROR(IF([1]Checklist!$C$4='GenInfo (2)'!E46,'GenInfo (2)'!LQ46," ")," ")</f>
        <v xml:space="preserve"> </v>
      </c>
      <c r="LS46" s="104" t="str">
        <f>IFERROR(SMALL($LR$8:$LR$94,ROWS($IL$8:IL46))," ")</f>
        <v xml:space="preserve"> </v>
      </c>
      <c r="LT46" s="102">
        <f>IFERROR(ROWS($IL$8:IL46)," ")</f>
        <v>39</v>
      </c>
      <c r="LU46" s="103" t="str">
        <f>IFERROR(IF([1]Checklist!$C$5='GenInfo (2)'!E46,'GenInfo (2)'!LT46," ")," ")</f>
        <v xml:space="preserve"> </v>
      </c>
      <c r="LV46" s="104" t="str">
        <f>IFERROR(SMALL($LU$8:$LU$94,ROWS($IL$8:IL46))," ")</f>
        <v xml:space="preserve"> </v>
      </c>
      <c r="LW46" s="102">
        <f>IFERROR(ROWS($IL$8:IL46)," ")</f>
        <v>39</v>
      </c>
      <c r="LX46" s="103" t="str">
        <f>IFERROR(IF([1]Checklist!$C$6='GenInfo (2)'!E46,'GenInfo (2)'!LW46," ")," ")</f>
        <v xml:space="preserve"> </v>
      </c>
      <c r="LY46" s="104" t="str">
        <f>IFERROR(SMALL($LX$8:$LX$94,ROWS($IL$8:IL46))," ")</f>
        <v xml:space="preserve"> </v>
      </c>
      <c r="LZ46" s="102">
        <f>IFERROR(ROWS($IL$8:IL46)," ")</f>
        <v>39</v>
      </c>
      <c r="MA46" s="103" t="str">
        <f>IFERROR(IF([1]Checklist!$C$7='GenInfo (2)'!E46,'GenInfo (2)'!LZ46," ")," ")</f>
        <v xml:space="preserve"> </v>
      </c>
      <c r="MB46" s="104" t="str">
        <f>IFERROR(SMALL($MA$8:$MA$94,ROWS($IL$8:IL46))," ")</f>
        <v xml:space="preserve"> </v>
      </c>
      <c r="MC46" s="102">
        <f>IFERROR(ROWS($IL$8:IL46)," ")</f>
        <v>39</v>
      </c>
      <c r="MD46" s="103" t="str">
        <f>IFERROR(IF([1]Checklist!$C$8='GenInfo (2)'!E46,'GenInfo (2)'!MC46," ")," ")</f>
        <v xml:space="preserve"> </v>
      </c>
      <c r="ME46" s="104" t="str">
        <f>IFERROR(SMALL($MD$8:$MD$94,ROWS($IL$8:IL46))," ")</f>
        <v xml:space="preserve"> </v>
      </c>
      <c r="MF46" s="102">
        <f>IFERROR(ROWS($IL$8:IL46)," ")</f>
        <v>39</v>
      </c>
      <c r="MG46" s="103" t="str">
        <f>IFERROR(IF([1]Checklist!$C$9='GenInfo (2)'!E46,'GenInfo (2)'!MF46," ")," ")</f>
        <v xml:space="preserve"> </v>
      </c>
      <c r="MH46" s="104" t="str">
        <f>IFERROR(SMALL($MG$8:$MG$94,ROWS($IL$8:IL46))," ")</f>
        <v xml:space="preserve"> </v>
      </c>
      <c r="MI46" s="102">
        <f>IFERROR(ROWS($IL$8:$IL46)," ")</f>
        <v>39</v>
      </c>
      <c r="MJ46" s="103" t="str">
        <f>IFERROR(IF([1]Checklist!$C$10='GenInfo (2)'!E46,'GenInfo (2)'!MI46," ")," ")</f>
        <v xml:space="preserve"> </v>
      </c>
      <c r="MK46" s="104" t="str">
        <f>IFERROR(SMALL($MJ$8:$MJ$94,ROWS($IL$8:IL46))," ")</f>
        <v xml:space="preserve"> </v>
      </c>
      <c r="ML46" s="102">
        <f>IFERROR(ROWS($IL$8:IL46)," ")</f>
        <v>39</v>
      </c>
      <c r="MM46" s="103" t="str">
        <f>IFERROR(IF([1]Checklist!$C$11='GenInfo (2)'!E46,'GenInfo (2)'!ML46," ")," ")</f>
        <v xml:space="preserve"> </v>
      </c>
      <c r="MN46" s="104" t="str">
        <f>IFERROR(SMALL($MM$8:$MM$94,ROWS($IL$8:IL46))," ")</f>
        <v xml:space="preserve"> </v>
      </c>
      <c r="MO46" s="102">
        <f>IFERROR(ROWS($IL$8:IL46)," ")</f>
        <v>39</v>
      </c>
      <c r="MP46" s="103" t="str">
        <f>IFERROR(IF([1]Checklist!$C$12='GenInfo (2)'!E46,'GenInfo (2)'!MO46," ")," ")</f>
        <v xml:space="preserve"> </v>
      </c>
      <c r="MQ46" s="104" t="str">
        <f>IFERROR(SMALL($MP$8:$MP$94,ROWS($IL$8:IL46))," ")</f>
        <v xml:space="preserve"> </v>
      </c>
      <c r="MR46" s="102">
        <f>IFERROR(ROWS($IL$8:IL46)," ")</f>
        <v>39</v>
      </c>
      <c r="MS46" s="103" t="str">
        <f>IFERROR(IF([1]Checklist!$C$13='GenInfo (2)'!E46,'GenInfo (2)'!MR46," ")," ")</f>
        <v xml:space="preserve"> </v>
      </c>
      <c r="MT46" s="104" t="str">
        <f>IFERROR(SMALL($MS$8:$MS$94,ROWS($IL$8:IL46))," ")</f>
        <v xml:space="preserve"> </v>
      </c>
      <c r="MU46" s="102">
        <f>IFERROR(ROWS($IL$8:IL46)," ")</f>
        <v>39</v>
      </c>
      <c r="MV46" s="103" t="str">
        <f>IFERROR(IF([1]Checklist!$C$14='GenInfo (2)'!E46,'GenInfo (2)'!MU46," ")," ")</f>
        <v xml:space="preserve"> </v>
      </c>
      <c r="MW46" s="104" t="str">
        <f>IFERROR(SMALL($MV$8:$MV$94,ROWS($IL$8:IL46))," ")</f>
        <v xml:space="preserve"> </v>
      </c>
      <c r="MX46" s="102">
        <f>IFERROR(ROWS($IL$8:IL46)," ")</f>
        <v>39</v>
      </c>
      <c r="MY46" s="103">
        <f>IFERROR(IF([1]Checklist!$C$15='GenInfo (2)'!E46,'GenInfo (2)'!MX46," ")," ")</f>
        <v>39</v>
      </c>
      <c r="MZ46" s="104" t="str">
        <f>IFERROR(SMALL($MY$8:$MY$94,ROWS($IL$8:IL46))," ")</f>
        <v xml:space="preserve"> </v>
      </c>
      <c r="NA46" s="102">
        <f>IFERROR(ROWS($IL$8:IL46)," ")</f>
        <v>39</v>
      </c>
      <c r="NB46" s="103" t="str">
        <f>IFERROR(IF([1]Checklist!$C$16='GenInfo (2)'!E46,'GenInfo (2)'!NA46," ")," ")</f>
        <v xml:space="preserve"> </v>
      </c>
      <c r="NC46" s="104" t="str">
        <f>IFERROR(SMALL($NB$8:$NB$94,ROWS($IL$8:IL46))," ")</f>
        <v xml:space="preserve"> </v>
      </c>
      <c r="ND46" s="102">
        <f>IFERROR(ROWS($IL$8:IL46)," ")</f>
        <v>39</v>
      </c>
      <c r="NE46" s="103" t="str">
        <f>IFERROR(IF([1]Checklist!$C$17='GenInfo (2)'!E46,'GenInfo (2)'!ND46," ")," ")</f>
        <v xml:space="preserve"> </v>
      </c>
      <c r="NF46" s="104" t="str">
        <f>IFERROR(SMALL($NE$8:$NE$94,ROWS($IL$8:IL46))," ")</f>
        <v xml:space="preserve"> </v>
      </c>
    </row>
    <row r="47" spans="1:370" ht="14.25" x14ac:dyDescent="0.45">
      <c r="A47" s="37" t="s">
        <v>213</v>
      </c>
      <c r="B47" s="37">
        <v>242</v>
      </c>
      <c r="C47" s="146" t="s">
        <v>624</v>
      </c>
      <c r="D47" t="s">
        <v>625</v>
      </c>
      <c r="E47" s="106" t="s">
        <v>573</v>
      </c>
      <c r="F47" s="96" t="s">
        <v>626</v>
      </c>
      <c r="G47" s="107" t="s">
        <v>294</v>
      </c>
      <c r="H47" s="96"/>
      <c r="I47" s="131" t="s">
        <v>627</v>
      </c>
      <c r="J47" s="96" t="s">
        <v>628</v>
      </c>
      <c r="K47" s="111"/>
      <c r="L47" s="108" t="s">
        <v>221</v>
      </c>
      <c r="M47" s="108" t="s">
        <v>221</v>
      </c>
      <c r="N47" s="108"/>
      <c r="O47" s="109" t="s">
        <v>221</v>
      </c>
      <c r="P47" s="108"/>
      <c r="Q47" s="108"/>
      <c r="R47" s="96"/>
      <c r="S47" s="108"/>
      <c r="T47" s="96"/>
      <c r="U47" s="111"/>
      <c r="V47" s="108">
        <v>43391</v>
      </c>
      <c r="W47" s="108">
        <v>43871</v>
      </c>
      <c r="X47" s="110" t="s">
        <v>629</v>
      </c>
      <c r="Y47" s="108">
        <v>43871</v>
      </c>
      <c r="Z47" s="110" t="s">
        <v>630</v>
      </c>
      <c r="AA47" s="62"/>
      <c r="AB47" s="96" t="s">
        <v>631</v>
      </c>
      <c r="AC47" s="96" t="s">
        <v>632</v>
      </c>
      <c r="AD47" s="96" t="s">
        <v>633</v>
      </c>
      <c r="AE47" s="96" t="s">
        <v>634</v>
      </c>
      <c r="AF47" s="96" t="s">
        <v>250</v>
      </c>
      <c r="AG47" s="96" t="s">
        <v>635</v>
      </c>
      <c r="AH47" s="96" t="s">
        <v>251</v>
      </c>
      <c r="AI47" s="96" t="s">
        <v>230</v>
      </c>
      <c r="AJ47" s="96">
        <v>60652</v>
      </c>
      <c r="AK47" s="62"/>
      <c r="AL47" s="71">
        <f t="shared" si="95"/>
        <v>17</v>
      </c>
      <c r="AM47" s="71">
        <f t="shared" ca="1" si="129"/>
        <v>20</v>
      </c>
      <c r="AN47" s="108">
        <v>37029</v>
      </c>
      <c r="AO47" s="72">
        <f t="shared" ca="1" si="97"/>
        <v>3</v>
      </c>
      <c r="AP47" s="96" t="s">
        <v>313</v>
      </c>
      <c r="AQ47" s="73" t="s">
        <v>264</v>
      </c>
      <c r="AR47" s="107" t="s">
        <v>233</v>
      </c>
      <c r="AS47" s="96"/>
      <c r="AT47" s="96"/>
      <c r="AU47" s="96"/>
      <c r="AV47" s="96"/>
      <c r="AW47" s="96"/>
      <c r="AX47" s="96" t="s">
        <v>351</v>
      </c>
      <c r="AY47" s="96" t="s">
        <v>290</v>
      </c>
      <c r="AZ47" s="96" t="s">
        <v>235</v>
      </c>
      <c r="BA47" s="96" t="s">
        <v>235</v>
      </c>
      <c r="BB47" s="96"/>
      <c r="BC47" s="114"/>
      <c r="BD47" s="62"/>
      <c r="BE47" s="71">
        <f t="shared" si="98"/>
        <v>4</v>
      </c>
      <c r="BF47" s="71">
        <f t="shared" si="98"/>
        <v>4</v>
      </c>
      <c r="BG47" s="71">
        <f t="shared" si="99"/>
        <v>3</v>
      </c>
      <c r="BH47" s="74">
        <f t="shared" si="100"/>
        <v>0.42361111111111105</v>
      </c>
      <c r="BI47" s="75">
        <f t="shared" si="101"/>
        <v>0.75</v>
      </c>
      <c r="BJ47" s="71">
        <f t="shared" si="102"/>
        <v>0</v>
      </c>
      <c r="BK47" s="75">
        <f t="shared" si="103"/>
        <v>0</v>
      </c>
      <c r="BL47" s="76">
        <f t="shared" si="104"/>
        <v>0</v>
      </c>
      <c r="BM47" s="77">
        <f t="shared" si="104"/>
        <v>0</v>
      </c>
      <c r="BN47" s="114"/>
      <c r="BO47" s="110"/>
      <c r="BP47" s="110"/>
      <c r="BQ47" s="115"/>
      <c r="BR47" s="115"/>
      <c r="BS47" s="74" t="str">
        <f t="shared" si="108"/>
        <v xml:space="preserve"> </v>
      </c>
      <c r="BT47" s="79">
        <v>0</v>
      </c>
      <c r="BU47" s="79">
        <v>0</v>
      </c>
      <c r="BV47" s="80">
        <v>0</v>
      </c>
      <c r="BW47" s="81">
        <v>0</v>
      </c>
      <c r="BX47" s="114"/>
      <c r="BY47" s="110"/>
      <c r="BZ47" s="110"/>
      <c r="CA47" s="114"/>
      <c r="CB47" s="115"/>
      <c r="CC47" s="74" t="str">
        <f t="shared" si="109"/>
        <v xml:space="preserve"> </v>
      </c>
      <c r="CD47" s="79">
        <v>0</v>
      </c>
      <c r="CE47" s="81">
        <v>0</v>
      </c>
      <c r="CF47" s="119"/>
      <c r="CG47" s="119"/>
      <c r="CH47" s="119"/>
      <c r="CI47" s="114">
        <v>0</v>
      </c>
      <c r="CJ47" s="114">
        <v>0</v>
      </c>
      <c r="CK47" s="74" t="str">
        <f t="shared" si="110"/>
        <v xml:space="preserve"> </v>
      </c>
      <c r="CL47" s="79">
        <v>0</v>
      </c>
      <c r="CM47" s="79">
        <v>0</v>
      </c>
      <c r="CN47" s="86">
        <v>0</v>
      </c>
      <c r="CO47" s="81">
        <v>0</v>
      </c>
      <c r="CP47" s="120" t="s">
        <v>336</v>
      </c>
      <c r="CQ47" s="121"/>
      <c r="CR47" s="121"/>
      <c r="CS47" s="116">
        <v>4</v>
      </c>
      <c r="CT47" s="116">
        <v>3</v>
      </c>
      <c r="CU47" s="74">
        <f t="shared" si="111"/>
        <v>0.75</v>
      </c>
      <c r="CV47" s="79">
        <v>0</v>
      </c>
      <c r="CW47" s="79">
        <v>0</v>
      </c>
      <c r="CX47" s="88">
        <v>0</v>
      </c>
      <c r="CY47" s="81">
        <v>0</v>
      </c>
      <c r="CZ47" s="122"/>
      <c r="DA47" s="108"/>
      <c r="DB47" s="108"/>
      <c r="DC47" s="114">
        <v>15</v>
      </c>
      <c r="DD47" s="114">
        <v>5</v>
      </c>
      <c r="DE47" s="74">
        <f t="shared" si="112"/>
        <v>0.33333333333333331</v>
      </c>
      <c r="DF47" s="79">
        <v>0</v>
      </c>
      <c r="DG47" s="79">
        <v>0</v>
      </c>
      <c r="DH47" s="79">
        <v>0</v>
      </c>
      <c r="DI47" s="81">
        <v>0</v>
      </c>
      <c r="DJ47" s="122"/>
      <c r="DK47" s="108"/>
      <c r="DL47" s="108"/>
      <c r="DM47" s="114">
        <v>15</v>
      </c>
      <c r="DN47" s="114">
        <v>5</v>
      </c>
      <c r="DO47" s="74">
        <f t="shared" si="113"/>
        <v>0.33333333333333331</v>
      </c>
      <c r="DP47" s="79">
        <v>0</v>
      </c>
      <c r="DQ47" s="79">
        <v>0</v>
      </c>
      <c r="DR47" s="79">
        <v>0</v>
      </c>
      <c r="DS47" s="81">
        <v>0</v>
      </c>
      <c r="DT47" s="122"/>
      <c r="DU47" s="108"/>
      <c r="DV47" s="108"/>
      <c r="DW47" s="114">
        <v>18</v>
      </c>
      <c r="DX47" s="114">
        <v>5</v>
      </c>
      <c r="DY47" s="74">
        <f t="shared" si="114"/>
        <v>0.27777777777777779</v>
      </c>
      <c r="DZ47" s="90">
        <v>0</v>
      </c>
      <c r="EA47" s="90">
        <v>0</v>
      </c>
      <c r="EB47" s="90">
        <v>0</v>
      </c>
      <c r="EC47" s="91">
        <v>0</v>
      </c>
      <c r="ED47" s="122"/>
      <c r="EE47" s="108"/>
      <c r="EF47" s="108"/>
      <c r="EG47" s="114"/>
      <c r="EH47" s="114"/>
      <c r="EI47" s="74" t="str">
        <f t="shared" si="105"/>
        <v xml:space="preserve"> </v>
      </c>
      <c r="EJ47" s="92">
        <v>0</v>
      </c>
      <c r="EK47" s="92">
        <v>0</v>
      </c>
      <c r="EL47" s="92">
        <v>0</v>
      </c>
      <c r="EM47" s="93">
        <v>0</v>
      </c>
      <c r="EN47" s="122"/>
      <c r="EO47" s="108"/>
      <c r="EP47" s="108"/>
      <c r="EQ47" s="114"/>
      <c r="ER47" s="114"/>
      <c r="ES47" s="74" t="str">
        <f t="shared" si="106"/>
        <v xml:space="preserve"> </v>
      </c>
      <c r="ET47" s="94">
        <v>0</v>
      </c>
      <c r="EU47" s="90"/>
      <c r="EV47" s="94">
        <v>0</v>
      </c>
      <c r="EW47" s="95">
        <v>0</v>
      </c>
      <c r="EX47" s="122"/>
      <c r="EY47" s="108"/>
      <c r="EZ47" s="108"/>
      <c r="FA47" s="114"/>
      <c r="FB47" s="114"/>
      <c r="FC47" s="74" t="str">
        <f t="shared" si="115"/>
        <v xml:space="preserve"> </v>
      </c>
      <c r="FD47" s="90"/>
      <c r="FE47" s="90"/>
      <c r="FF47" s="90"/>
      <c r="FG47" s="90"/>
      <c r="FH47" s="76">
        <f t="shared" si="116"/>
        <v>0</v>
      </c>
      <c r="FI47" s="122"/>
      <c r="FJ47" s="108"/>
      <c r="FK47" s="108"/>
      <c r="FL47" s="114"/>
      <c r="FM47" s="114"/>
      <c r="FN47" s="74" t="str">
        <f t="shared" si="117"/>
        <v xml:space="preserve"> </v>
      </c>
      <c r="FO47" s="90"/>
      <c r="FP47" s="90"/>
      <c r="FQ47" s="90"/>
      <c r="FR47" s="90"/>
      <c r="FS47" s="76">
        <f t="shared" si="118"/>
        <v>0</v>
      </c>
      <c r="FT47" s="122"/>
      <c r="FU47" s="108"/>
      <c r="FV47" s="108"/>
      <c r="FW47" s="114"/>
      <c r="FX47" s="114"/>
      <c r="FY47" s="74" t="str">
        <f t="shared" si="119"/>
        <v xml:space="preserve"> </v>
      </c>
      <c r="FZ47" s="90"/>
      <c r="GA47" s="90"/>
      <c r="GB47" s="90"/>
      <c r="GC47" s="90"/>
      <c r="GD47" s="76">
        <f t="shared" si="120"/>
        <v>0</v>
      </c>
      <c r="GE47" s="107"/>
      <c r="GF47" s="96">
        <v>9</v>
      </c>
      <c r="GG47" s="96" t="s">
        <v>351</v>
      </c>
      <c r="GH47" s="79"/>
      <c r="GI47" s="63"/>
      <c r="GJ47" s="63"/>
      <c r="GK47" s="97">
        <f t="shared" si="84"/>
        <v>0</v>
      </c>
      <c r="GL47" s="63">
        <v>0</v>
      </c>
      <c r="GM47" s="79"/>
      <c r="GN47" s="97">
        <f t="shared" si="121"/>
        <v>0</v>
      </c>
      <c r="GO47" s="97">
        <f t="shared" si="122"/>
        <v>9</v>
      </c>
      <c r="GP47" s="62"/>
      <c r="GQ47" s="96" t="s">
        <v>213</v>
      </c>
      <c r="GR47" s="96" t="s">
        <v>213</v>
      </c>
      <c r="GS47" s="96" t="s">
        <v>213</v>
      </c>
      <c r="GT47" s="96" t="s">
        <v>213</v>
      </c>
      <c r="GU47" s="96" t="s">
        <v>213</v>
      </c>
      <c r="GV47" s="96" t="s">
        <v>237</v>
      </c>
      <c r="GW47" s="96" t="s">
        <v>213</v>
      </c>
      <c r="GX47" s="96" t="s">
        <v>213</v>
      </c>
      <c r="GY47" s="65" t="str">
        <f>IFERROR(IF(IN47&gt;0,"X",""),"")</f>
        <v>X</v>
      </c>
      <c r="GZ47" s="65" t="str">
        <f>IFERROR(IF(JC47&gt;0,"X",""),"")</f>
        <v>X</v>
      </c>
      <c r="HA47" s="100" t="s">
        <v>213</v>
      </c>
      <c r="HB47" s="100" t="s">
        <v>213</v>
      </c>
      <c r="HC47" s="100" t="s">
        <v>213</v>
      </c>
      <c r="HD47" s="100" t="s">
        <v>237</v>
      </c>
      <c r="HE47" s="100" t="s">
        <v>213</v>
      </c>
      <c r="HF47" s="100" t="s">
        <v>213</v>
      </c>
      <c r="HG47" s="100" t="s">
        <v>237</v>
      </c>
      <c r="HH47" s="100">
        <v>0</v>
      </c>
      <c r="HI47" s="100">
        <v>0</v>
      </c>
      <c r="HJ47" s="100">
        <v>0</v>
      </c>
      <c r="HK47" s="100">
        <v>0</v>
      </c>
      <c r="HL47" s="65" t="s">
        <v>237</v>
      </c>
      <c r="HM47" s="65" t="str">
        <f t="shared" si="124"/>
        <v>x</v>
      </c>
      <c r="HN47" s="65" t="str">
        <f>IFERROR(IF(OR(IW47&gt;0,IX47&gt;0,IY47&gt;0,IZ47&gt;0),"x",""),"")</f>
        <v/>
      </c>
      <c r="HO47" s="65" t="s">
        <v>237</v>
      </c>
      <c r="HP47" s="65" t="str">
        <f t="shared" si="130"/>
        <v>x</v>
      </c>
      <c r="HQ47" s="65" t="str">
        <f>IFERROR(IF(OR(JL47&gt;0,JM47&gt;0,JN47&gt;0,JO47&gt;0),"x",""),"")</f>
        <v/>
      </c>
      <c r="HR47" s="96"/>
      <c r="HS47" s="96" t="s">
        <v>213</v>
      </c>
      <c r="HT47" s="96"/>
      <c r="HU47" s="96"/>
      <c r="HV47" s="96"/>
      <c r="HW47" s="96"/>
      <c r="HX47" s="96" t="s">
        <v>213</v>
      </c>
      <c r="HY47" s="96"/>
      <c r="HZ47" s="96" t="s">
        <v>213</v>
      </c>
      <c r="IA47" s="96"/>
      <c r="IB47" s="96"/>
      <c r="IC47" s="96" t="s">
        <v>213</v>
      </c>
      <c r="ID47" s="96" t="s">
        <v>240</v>
      </c>
      <c r="IE47" s="100" t="s">
        <v>213</v>
      </c>
      <c r="IF47" s="100" t="s">
        <v>213</v>
      </c>
      <c r="IG47" s="100" t="s">
        <v>213</v>
      </c>
      <c r="IH47" s="100" t="s">
        <v>213</v>
      </c>
      <c r="II47" s="100" t="s">
        <v>213</v>
      </c>
      <c r="IJ47" s="100" t="s">
        <v>213</v>
      </c>
      <c r="IK47" s="100" t="s">
        <v>213</v>
      </c>
      <c r="IL47" s="100">
        <v>0</v>
      </c>
      <c r="IM47" s="96"/>
      <c r="IN47" s="125">
        <v>4.5999999999999996</v>
      </c>
      <c r="IO47" s="125"/>
      <c r="IP47" s="96"/>
      <c r="IQ47" s="96"/>
      <c r="IR47" s="96"/>
      <c r="IS47" s="96"/>
      <c r="IT47" s="96"/>
      <c r="IU47" s="96">
        <v>3.1</v>
      </c>
      <c r="IV47" s="96"/>
      <c r="IW47" s="96"/>
      <c r="IX47" s="96"/>
      <c r="IY47" s="96"/>
      <c r="IZ47" s="96"/>
      <c r="JA47" s="65">
        <f t="shared" si="107"/>
        <v>1</v>
      </c>
      <c r="JB47" s="96"/>
      <c r="JC47" s="125">
        <v>4.0999999999999996</v>
      </c>
      <c r="JD47" s="125"/>
      <c r="JE47" s="96"/>
      <c r="JF47" s="96"/>
      <c r="JG47" s="96"/>
      <c r="JH47" s="96"/>
      <c r="JI47" s="96"/>
      <c r="JJ47" s="96">
        <v>1.4</v>
      </c>
      <c r="JK47" s="96"/>
      <c r="JL47" s="96"/>
      <c r="JM47" s="96"/>
      <c r="JN47" s="96"/>
      <c r="JO47" s="63"/>
      <c r="JP47" s="65">
        <f t="shared" si="133"/>
        <v>1</v>
      </c>
      <c r="JQ47" s="96"/>
      <c r="LM47" s="205"/>
      <c r="LN47" s="102">
        <f>IFERROR(ROWS($IL$8:IL47)," ")</f>
        <v>40</v>
      </c>
      <c r="LO47" s="103" t="str">
        <f>IFERROR(IF([1]Checklist!$C$3='GenInfo (2)'!E47,'GenInfo (2)'!LN47," ")," ")</f>
        <v xml:space="preserve"> </v>
      </c>
      <c r="LP47" s="104" t="str">
        <f>IFERROR(SMALL($LO$8:$LO$94,ROWS($IL$8:IL47))," ")</f>
        <v xml:space="preserve"> </v>
      </c>
      <c r="LQ47" s="102">
        <f>IFERROR(ROWS($IL$8:IL47)," ")</f>
        <v>40</v>
      </c>
      <c r="LR47" s="103" t="str">
        <f>IFERROR(IF([1]Checklist!$C$4='GenInfo (2)'!E47,'GenInfo (2)'!LQ47," ")," ")</f>
        <v xml:space="preserve"> </v>
      </c>
      <c r="LS47" s="104" t="str">
        <f>IFERROR(SMALL($LR$8:$LR$94,ROWS($IL$8:IL47))," ")</f>
        <v xml:space="preserve"> </v>
      </c>
      <c r="LT47" s="102">
        <f>IFERROR(ROWS($IL$8:IL47)," ")</f>
        <v>40</v>
      </c>
      <c r="LU47" s="103" t="str">
        <f>IFERROR(IF([1]Checklist!$C$5='GenInfo (2)'!E47,'GenInfo (2)'!LT47," ")," ")</f>
        <v xml:space="preserve"> </v>
      </c>
      <c r="LV47" s="104" t="str">
        <f>IFERROR(SMALL($LU$8:$LU$94,ROWS($IL$8:IL47))," ")</f>
        <v xml:space="preserve"> </v>
      </c>
      <c r="LW47" s="102">
        <f>IFERROR(ROWS($IL$8:IL47)," ")</f>
        <v>40</v>
      </c>
      <c r="LX47" s="103" t="str">
        <f>IFERROR(IF([1]Checklist!$C$6='GenInfo (2)'!E47,'GenInfo (2)'!LW47," ")," ")</f>
        <v xml:space="preserve"> </v>
      </c>
      <c r="LY47" s="104" t="str">
        <f>IFERROR(SMALL($LX$8:$LX$94,ROWS($IL$8:IL47))," ")</f>
        <v xml:space="preserve"> </v>
      </c>
      <c r="LZ47" s="102">
        <f>IFERROR(ROWS($IL$8:IL47)," ")</f>
        <v>40</v>
      </c>
      <c r="MA47" s="103" t="str">
        <f>IFERROR(IF([1]Checklist!$C$7='GenInfo (2)'!E47,'GenInfo (2)'!LZ47," ")," ")</f>
        <v xml:space="preserve"> </v>
      </c>
      <c r="MB47" s="104" t="str">
        <f>IFERROR(SMALL($MA$8:$MA$94,ROWS($IL$8:IL47))," ")</f>
        <v xml:space="preserve"> </v>
      </c>
      <c r="MC47" s="102">
        <f>IFERROR(ROWS($IL$8:IL47)," ")</f>
        <v>40</v>
      </c>
      <c r="MD47" s="103" t="str">
        <f>IFERROR(IF([1]Checklist!$C$8='GenInfo (2)'!E47,'GenInfo (2)'!MC47," ")," ")</f>
        <v xml:space="preserve"> </v>
      </c>
      <c r="ME47" s="104" t="str">
        <f>IFERROR(SMALL($MD$8:$MD$94,ROWS($IL$8:IL47))," ")</f>
        <v xml:space="preserve"> </v>
      </c>
      <c r="MF47" s="102">
        <f>IFERROR(ROWS($IL$8:IL47)," ")</f>
        <v>40</v>
      </c>
      <c r="MG47" s="103" t="str">
        <f>IFERROR(IF([1]Checklist!$C$9='GenInfo (2)'!E47,'GenInfo (2)'!MF47," ")," ")</f>
        <v xml:space="preserve"> </v>
      </c>
      <c r="MH47" s="104" t="str">
        <f>IFERROR(SMALL($MG$8:$MG$94,ROWS($IL$8:IL47))," ")</f>
        <v xml:space="preserve"> </v>
      </c>
      <c r="MI47" s="102">
        <f>IFERROR(ROWS($IL$8:$IL47)," ")</f>
        <v>40</v>
      </c>
      <c r="MJ47" s="103" t="str">
        <f>IFERROR(IF([1]Checklist!$C$10='GenInfo (2)'!E47,'GenInfo (2)'!MI47," ")," ")</f>
        <v xml:space="preserve"> </v>
      </c>
      <c r="MK47" s="104" t="str">
        <f>IFERROR(SMALL($MJ$8:$MJ$94,ROWS($IL$8:IL47))," ")</f>
        <v xml:space="preserve"> </v>
      </c>
      <c r="ML47" s="102">
        <f>IFERROR(ROWS($IL$8:IL47)," ")</f>
        <v>40</v>
      </c>
      <c r="MM47" s="103" t="str">
        <f>IFERROR(IF([1]Checklist!$C$11='GenInfo (2)'!E47,'GenInfo (2)'!ML47," ")," ")</f>
        <v xml:space="preserve"> </v>
      </c>
      <c r="MN47" s="104" t="str">
        <f>IFERROR(SMALL($MM$8:$MM$94,ROWS($IL$8:IL47))," ")</f>
        <v xml:space="preserve"> </v>
      </c>
      <c r="MO47" s="102">
        <f>IFERROR(ROWS($IL$8:IL47)," ")</f>
        <v>40</v>
      </c>
      <c r="MP47" s="103" t="str">
        <f>IFERROR(IF([1]Checklist!$C$12='GenInfo (2)'!E47,'GenInfo (2)'!MO47," ")," ")</f>
        <v xml:space="preserve"> </v>
      </c>
      <c r="MQ47" s="104" t="str">
        <f>IFERROR(SMALL($MP$8:$MP$94,ROWS($IL$8:IL47))," ")</f>
        <v xml:space="preserve"> </v>
      </c>
      <c r="MR47" s="102">
        <f>IFERROR(ROWS($IL$8:IL47)," ")</f>
        <v>40</v>
      </c>
      <c r="MS47" s="103" t="str">
        <f>IFERROR(IF([1]Checklist!$C$13='GenInfo (2)'!E47,'GenInfo (2)'!MR47," ")," ")</f>
        <v xml:space="preserve"> </v>
      </c>
      <c r="MT47" s="104" t="str">
        <f>IFERROR(SMALL($MS$8:$MS$94,ROWS($IL$8:IL47))," ")</f>
        <v xml:space="preserve"> </v>
      </c>
      <c r="MU47" s="102">
        <f>IFERROR(ROWS($IL$8:IL47)," ")</f>
        <v>40</v>
      </c>
      <c r="MV47" s="103" t="str">
        <f>IFERROR(IF([1]Checklist!$C$14='GenInfo (2)'!E47,'GenInfo (2)'!MU47," ")," ")</f>
        <v xml:space="preserve"> </v>
      </c>
      <c r="MW47" s="104" t="str">
        <f>IFERROR(SMALL($MV$8:$MV$94,ROWS($IL$8:IL47))," ")</f>
        <v xml:space="preserve"> </v>
      </c>
      <c r="MX47" s="102">
        <f>IFERROR(ROWS($IL$8:IL47)," ")</f>
        <v>40</v>
      </c>
      <c r="MY47" s="103">
        <f>IFERROR(IF([1]Checklist!$C$15='GenInfo (2)'!E47,'GenInfo (2)'!MX47," ")," ")</f>
        <v>40</v>
      </c>
      <c r="MZ47" s="104" t="str">
        <f>IFERROR(SMALL($MY$8:$MY$94,ROWS($IL$8:IL47))," ")</f>
        <v xml:space="preserve"> </v>
      </c>
      <c r="NA47" s="102">
        <f>IFERROR(ROWS($IL$8:IL47)," ")</f>
        <v>40</v>
      </c>
      <c r="NB47" s="103" t="str">
        <f>IFERROR(IF([1]Checklist!$C$16='GenInfo (2)'!E47,'GenInfo (2)'!NA47," ")," ")</f>
        <v xml:space="preserve"> </v>
      </c>
      <c r="NC47" s="104" t="str">
        <f>IFERROR(SMALL($NB$8:$NB$94,ROWS($IL$8:IL47))," ")</f>
        <v xml:space="preserve"> </v>
      </c>
      <c r="ND47" s="102">
        <f>IFERROR(ROWS($IL$8:IL47)," ")</f>
        <v>40</v>
      </c>
      <c r="NE47" s="103" t="str">
        <f>IFERROR(IF([1]Checklist!$C$17='GenInfo (2)'!E47,'GenInfo (2)'!ND47," ")," ")</f>
        <v xml:space="preserve"> </v>
      </c>
      <c r="NF47" s="104" t="str">
        <f>IFERROR(SMALL($NE$8:$NE$94,ROWS($IL$8:IL47))," ")</f>
        <v xml:space="preserve"> </v>
      </c>
    </row>
    <row r="48" spans="1:370" ht="14.25" x14ac:dyDescent="0.45">
      <c r="A48" s="37" t="s">
        <v>213</v>
      </c>
      <c r="B48" s="37">
        <v>248</v>
      </c>
      <c r="C48" s="146" t="s">
        <v>636</v>
      </c>
      <c r="D48" t="s">
        <v>637</v>
      </c>
      <c r="E48" s="106" t="s">
        <v>573</v>
      </c>
      <c r="F48" s="96" t="s">
        <v>638</v>
      </c>
      <c r="G48" s="107" t="s">
        <v>218</v>
      </c>
      <c r="H48" s="96"/>
      <c r="I48" s="131" t="s">
        <v>639</v>
      </c>
      <c r="J48" s="96" t="s">
        <v>640</v>
      </c>
      <c r="K48" s="111"/>
      <c r="L48" s="108" t="s">
        <v>221</v>
      </c>
      <c r="M48" s="108" t="s">
        <v>221</v>
      </c>
      <c r="N48" s="108"/>
      <c r="O48" s="109" t="s">
        <v>221</v>
      </c>
      <c r="P48" s="108"/>
      <c r="Q48" s="108"/>
      <c r="R48" s="96"/>
      <c r="S48" s="108"/>
      <c r="T48" s="96"/>
      <c r="U48" s="111"/>
      <c r="V48" s="108">
        <v>43583</v>
      </c>
      <c r="W48" s="63" t="s">
        <v>222</v>
      </c>
      <c r="X48" s="110"/>
      <c r="Y48" s="108"/>
      <c r="Z48" s="110"/>
      <c r="AA48" s="62"/>
      <c r="AB48" s="96"/>
      <c r="AC48" s="96"/>
      <c r="AD48" s="96"/>
      <c r="AE48" s="96"/>
      <c r="AF48" s="96"/>
      <c r="AG48" s="96"/>
      <c r="AH48" s="96"/>
      <c r="AI48" s="96"/>
      <c r="AJ48" s="96"/>
      <c r="AK48" s="62"/>
      <c r="AL48" s="71">
        <f t="shared" si="95"/>
        <v>119</v>
      </c>
      <c r="AM48" s="71">
        <f t="shared" ca="1" si="129"/>
        <v>122</v>
      </c>
      <c r="AN48" s="110"/>
      <c r="AO48" s="72" t="str">
        <f t="shared" ca="1" si="97"/>
        <v/>
      </c>
      <c r="AP48" s="113" t="s">
        <v>231</v>
      </c>
      <c r="AQ48" s="73" t="s">
        <v>264</v>
      </c>
      <c r="AR48" s="107" t="s">
        <v>233</v>
      </c>
      <c r="AS48" s="96"/>
      <c r="AT48" s="96"/>
      <c r="AU48" s="96"/>
      <c r="AV48" s="96"/>
      <c r="AW48" s="96"/>
      <c r="AX48" s="96"/>
      <c r="AY48" s="96" t="s">
        <v>235</v>
      </c>
      <c r="AZ48" s="96" t="s">
        <v>290</v>
      </c>
      <c r="BA48" s="96" t="s">
        <v>254</v>
      </c>
      <c r="BB48" s="96"/>
      <c r="BC48" s="114"/>
      <c r="BD48" s="62"/>
      <c r="BE48" s="71">
        <f t="shared" si="98"/>
        <v>5</v>
      </c>
      <c r="BF48" s="71">
        <f t="shared" si="98"/>
        <v>5</v>
      </c>
      <c r="BG48" s="71">
        <f t="shared" si="99"/>
        <v>3</v>
      </c>
      <c r="BH48" s="74">
        <f t="shared" si="100"/>
        <v>0.44707070707070706</v>
      </c>
      <c r="BI48" s="75">
        <f t="shared" si="101"/>
        <v>0.6</v>
      </c>
      <c r="BJ48" s="71">
        <f t="shared" si="102"/>
        <v>0</v>
      </c>
      <c r="BK48" s="75">
        <f t="shared" si="103"/>
        <v>0</v>
      </c>
      <c r="BL48" s="76">
        <f t="shared" si="104"/>
        <v>0</v>
      </c>
      <c r="BM48" s="77">
        <f t="shared" si="104"/>
        <v>0</v>
      </c>
      <c r="BN48" s="114"/>
      <c r="BO48" s="110"/>
      <c r="BP48" s="110"/>
      <c r="BQ48" s="115"/>
      <c r="BR48" s="115"/>
      <c r="BS48" s="74" t="str">
        <f t="shared" si="108"/>
        <v xml:space="preserve"> </v>
      </c>
      <c r="BT48" s="79">
        <v>0</v>
      </c>
      <c r="BU48" s="79">
        <v>0</v>
      </c>
      <c r="BV48" s="80">
        <v>0</v>
      </c>
      <c r="BW48" s="81">
        <v>0</v>
      </c>
      <c r="BX48" s="114"/>
      <c r="BY48" s="110"/>
      <c r="BZ48" s="110"/>
      <c r="CA48" s="115"/>
      <c r="CB48" s="115"/>
      <c r="CC48" s="74" t="str">
        <f t="shared" si="109"/>
        <v xml:space="preserve"> </v>
      </c>
      <c r="CD48" s="79">
        <v>0</v>
      </c>
      <c r="CE48" s="81">
        <v>0</v>
      </c>
      <c r="CF48" s="119"/>
      <c r="CG48" s="119"/>
      <c r="CH48" s="119"/>
      <c r="CI48" s="114">
        <v>20</v>
      </c>
      <c r="CJ48" s="114">
        <v>14</v>
      </c>
      <c r="CK48" s="74">
        <f t="shared" si="110"/>
        <v>0.7</v>
      </c>
      <c r="CL48" s="79">
        <v>0</v>
      </c>
      <c r="CM48" s="79">
        <v>0</v>
      </c>
      <c r="CN48" s="86">
        <v>0</v>
      </c>
      <c r="CO48" s="81">
        <v>0</v>
      </c>
      <c r="CP48" s="120"/>
      <c r="CQ48" s="121"/>
      <c r="CR48" s="121"/>
      <c r="CS48" s="116">
        <v>22</v>
      </c>
      <c r="CT48" s="116">
        <v>13</v>
      </c>
      <c r="CU48" s="74">
        <f t="shared" si="111"/>
        <v>0.59090909090909094</v>
      </c>
      <c r="CV48" s="79">
        <v>0</v>
      </c>
      <c r="CW48" s="79">
        <v>0</v>
      </c>
      <c r="CX48" s="88">
        <v>0</v>
      </c>
      <c r="CY48" s="81">
        <v>0</v>
      </c>
      <c r="CZ48" s="122"/>
      <c r="DA48" s="108"/>
      <c r="DB48" s="108"/>
      <c r="DC48" s="114">
        <v>15</v>
      </c>
      <c r="DD48" s="114">
        <v>5</v>
      </c>
      <c r="DE48" s="74">
        <f t="shared" si="112"/>
        <v>0.33333333333333331</v>
      </c>
      <c r="DF48" s="79">
        <v>0</v>
      </c>
      <c r="DG48" s="79">
        <v>0</v>
      </c>
      <c r="DH48" s="79">
        <v>0</v>
      </c>
      <c r="DI48" s="81">
        <v>0</v>
      </c>
      <c r="DJ48" s="122"/>
      <c r="DK48" s="108"/>
      <c r="DL48" s="108"/>
      <c r="DM48" s="114">
        <v>15</v>
      </c>
      <c r="DN48" s="114">
        <v>5</v>
      </c>
      <c r="DO48" s="74">
        <f t="shared" si="113"/>
        <v>0.33333333333333331</v>
      </c>
      <c r="DP48" s="79">
        <v>0</v>
      </c>
      <c r="DQ48" s="79">
        <v>0</v>
      </c>
      <c r="DR48" s="79">
        <v>0</v>
      </c>
      <c r="DS48" s="81">
        <v>0</v>
      </c>
      <c r="DT48" s="122"/>
      <c r="DU48" s="108"/>
      <c r="DV48" s="108"/>
      <c r="DW48" s="114">
        <v>18</v>
      </c>
      <c r="DX48" s="114">
        <v>5</v>
      </c>
      <c r="DY48" s="74">
        <f t="shared" si="114"/>
        <v>0.27777777777777779</v>
      </c>
      <c r="DZ48" s="90">
        <v>0</v>
      </c>
      <c r="EA48" s="90">
        <v>0</v>
      </c>
      <c r="EB48" s="90">
        <v>0</v>
      </c>
      <c r="EC48" s="91">
        <v>0</v>
      </c>
      <c r="ED48" s="122"/>
      <c r="EE48" s="108"/>
      <c r="EF48" s="108"/>
      <c r="EG48" s="114"/>
      <c r="EH48" s="114"/>
      <c r="EI48" s="74" t="str">
        <f t="shared" si="105"/>
        <v xml:space="preserve"> </v>
      </c>
      <c r="EJ48" s="92">
        <v>0</v>
      </c>
      <c r="EK48" s="92">
        <v>0</v>
      </c>
      <c r="EL48" s="92">
        <v>0</v>
      </c>
      <c r="EM48" s="93">
        <v>0</v>
      </c>
      <c r="EN48" s="122"/>
      <c r="EO48" s="108"/>
      <c r="EP48" s="108"/>
      <c r="EQ48" s="114"/>
      <c r="ER48" s="114"/>
      <c r="ES48" s="74" t="str">
        <f t="shared" si="106"/>
        <v xml:space="preserve"> </v>
      </c>
      <c r="ET48" s="94">
        <v>0</v>
      </c>
      <c r="EU48" s="90"/>
      <c r="EV48" s="94">
        <v>0</v>
      </c>
      <c r="EW48" s="95">
        <v>0</v>
      </c>
      <c r="EX48" s="122"/>
      <c r="EY48" s="108"/>
      <c r="EZ48" s="108"/>
      <c r="FA48" s="114"/>
      <c r="FB48" s="114"/>
      <c r="FC48" s="74" t="str">
        <f t="shared" si="115"/>
        <v xml:space="preserve"> </v>
      </c>
      <c r="FD48" s="90"/>
      <c r="FE48" s="90"/>
      <c r="FF48" s="90"/>
      <c r="FG48" s="90"/>
      <c r="FH48" s="76">
        <f t="shared" si="116"/>
        <v>0</v>
      </c>
      <c r="FI48" s="122"/>
      <c r="FJ48" s="108"/>
      <c r="FK48" s="108"/>
      <c r="FL48" s="114"/>
      <c r="FM48" s="114"/>
      <c r="FN48" s="74" t="str">
        <f t="shared" si="117"/>
        <v xml:space="preserve"> </v>
      </c>
      <c r="FO48" s="90"/>
      <c r="FP48" s="90"/>
      <c r="FQ48" s="90"/>
      <c r="FR48" s="90"/>
      <c r="FS48" s="76">
        <f t="shared" si="118"/>
        <v>0</v>
      </c>
      <c r="FT48" s="122"/>
      <c r="FU48" s="108"/>
      <c r="FV48" s="108"/>
      <c r="FW48" s="114"/>
      <c r="FX48" s="114"/>
      <c r="FY48" s="74" t="str">
        <f t="shared" si="119"/>
        <v xml:space="preserve"> </v>
      </c>
      <c r="FZ48" s="90"/>
      <c r="GA48" s="90"/>
      <c r="GB48" s="90"/>
      <c r="GC48" s="90"/>
      <c r="GD48" s="76">
        <f t="shared" si="120"/>
        <v>0</v>
      </c>
      <c r="GE48" s="115"/>
      <c r="GF48" s="96">
        <v>5</v>
      </c>
      <c r="GG48" s="96" t="s">
        <v>351</v>
      </c>
      <c r="GH48" s="79"/>
      <c r="GI48" s="63"/>
      <c r="GJ48" s="63"/>
      <c r="GK48" s="97">
        <f t="shared" si="84"/>
        <v>0</v>
      </c>
      <c r="GL48" s="63">
        <v>0</v>
      </c>
      <c r="GM48" s="79"/>
      <c r="GN48" s="97">
        <f t="shared" si="121"/>
        <v>0</v>
      </c>
      <c r="GO48" s="97">
        <f t="shared" si="122"/>
        <v>5</v>
      </c>
      <c r="GP48" s="62"/>
      <c r="GQ48" s="96" t="s">
        <v>213</v>
      </c>
      <c r="GR48" s="96" t="s">
        <v>213</v>
      </c>
      <c r="GS48" s="96" t="s">
        <v>213</v>
      </c>
      <c r="GT48" s="96" t="s">
        <v>213</v>
      </c>
      <c r="GU48" s="96" t="s">
        <v>213</v>
      </c>
      <c r="GV48" s="96" t="s">
        <v>213</v>
      </c>
      <c r="GW48" s="96" t="s">
        <v>213</v>
      </c>
      <c r="GX48" s="96" t="s">
        <v>237</v>
      </c>
      <c r="GY48" s="65" t="str">
        <f>IFERROR(IF(IN48&gt;0,"X",""),"")</f>
        <v>X</v>
      </c>
      <c r="GZ48" s="65" t="str">
        <f>IFERROR(IF(JC48&gt;0,"X",""),"")</f>
        <v>X</v>
      </c>
      <c r="HA48" s="100" t="s">
        <v>213</v>
      </c>
      <c r="HB48" s="100" t="s">
        <v>213</v>
      </c>
      <c r="HC48" s="100">
        <v>0</v>
      </c>
      <c r="HD48" s="100">
        <v>0</v>
      </c>
      <c r="HE48" s="100">
        <v>0</v>
      </c>
      <c r="HF48" s="100">
        <v>0</v>
      </c>
      <c r="HG48" s="100" t="s">
        <v>213</v>
      </c>
      <c r="HH48" s="100">
        <v>0</v>
      </c>
      <c r="HI48" s="100">
        <v>0</v>
      </c>
      <c r="HJ48" s="100">
        <v>0</v>
      </c>
      <c r="HK48" s="100">
        <v>0</v>
      </c>
      <c r="HL48" s="65" t="str">
        <f>IFERROR(IF(OR(IQ48&gt;0,IR48&gt;0,IS48&gt;0),"x",""),"")</f>
        <v>x</v>
      </c>
      <c r="HM48" s="65" t="str">
        <f t="shared" si="124"/>
        <v>x</v>
      </c>
      <c r="HN48" s="65" t="s">
        <v>239</v>
      </c>
      <c r="HO48" s="65" t="str">
        <f>IFERROR(IF(OR(JE48&gt;0,JF48&gt;0,JG48&gt;0,JH48&gt;0),"x",""),"")</f>
        <v>x</v>
      </c>
      <c r="HP48" s="65" t="str">
        <f t="shared" si="130"/>
        <v>x</v>
      </c>
      <c r="HQ48" s="65" t="s">
        <v>239</v>
      </c>
      <c r="HR48" s="96"/>
      <c r="HS48" s="96" t="s">
        <v>213</v>
      </c>
      <c r="HT48" s="96" t="s">
        <v>213</v>
      </c>
      <c r="HU48" s="63" t="s">
        <v>237</v>
      </c>
      <c r="HV48" s="96"/>
      <c r="HW48" s="96"/>
      <c r="HX48" s="96" t="s">
        <v>213</v>
      </c>
      <c r="HY48" s="96"/>
      <c r="HZ48" s="96" t="s">
        <v>213</v>
      </c>
      <c r="IA48" s="96" t="s">
        <v>237</v>
      </c>
      <c r="IB48" s="96"/>
      <c r="IC48" s="96" t="s">
        <v>213</v>
      </c>
      <c r="ID48" s="96" t="s">
        <v>240</v>
      </c>
      <c r="IE48" s="100" t="s">
        <v>213</v>
      </c>
      <c r="IF48" s="100" t="s">
        <v>213</v>
      </c>
      <c r="IG48" s="100" t="s">
        <v>213</v>
      </c>
      <c r="IH48" s="100" t="s">
        <v>213</v>
      </c>
      <c r="II48" s="100" t="s">
        <v>213</v>
      </c>
      <c r="IJ48" s="100">
        <v>0</v>
      </c>
      <c r="IK48" s="100">
        <v>0</v>
      </c>
      <c r="IL48" s="100">
        <v>0</v>
      </c>
      <c r="IM48" s="96"/>
      <c r="IN48" s="125">
        <v>8.4</v>
      </c>
      <c r="IO48" s="125"/>
      <c r="IP48" s="96"/>
      <c r="IQ48" s="96">
        <v>8.4</v>
      </c>
      <c r="IR48" s="96"/>
      <c r="IS48" s="96"/>
      <c r="IT48" s="96"/>
      <c r="IU48" s="96">
        <v>1.5</v>
      </c>
      <c r="IV48" s="96"/>
      <c r="IW48" s="96"/>
      <c r="IX48" s="96"/>
      <c r="IY48" s="96"/>
      <c r="IZ48" s="96"/>
      <c r="JA48" s="65">
        <f t="shared" si="107"/>
        <v>2</v>
      </c>
      <c r="JB48" s="96">
        <f>IU48-IQ48</f>
        <v>-6.9</v>
      </c>
      <c r="JC48" s="125">
        <v>4.4000000000000004</v>
      </c>
      <c r="JD48" s="125"/>
      <c r="JE48" s="96"/>
      <c r="JF48" s="96">
        <v>4.4000000000000004</v>
      </c>
      <c r="JG48" s="96"/>
      <c r="JH48" s="96"/>
      <c r="JI48" s="96"/>
      <c r="JJ48" s="96">
        <v>1.6</v>
      </c>
      <c r="JK48" s="96"/>
      <c r="JL48" s="96"/>
      <c r="JM48" s="96"/>
      <c r="JN48" s="96"/>
      <c r="JO48" s="96"/>
      <c r="JP48" s="65">
        <f t="shared" si="133"/>
        <v>2</v>
      </c>
      <c r="JQ48" s="63"/>
      <c r="LM48" s="205"/>
      <c r="LN48" s="102">
        <f>IFERROR(ROWS($IL$8:IL48)," ")</f>
        <v>41</v>
      </c>
      <c r="LO48" s="103" t="str">
        <f>IFERROR(IF([1]Checklist!$C$3='GenInfo (2)'!E48,'GenInfo (2)'!LN48," ")," ")</f>
        <v xml:space="preserve"> </v>
      </c>
      <c r="LP48" s="104" t="str">
        <f>IFERROR(SMALL($LO$8:$LO$94,ROWS($IL$8:IL48))," ")</f>
        <v xml:space="preserve"> </v>
      </c>
      <c r="LQ48" s="102">
        <f>IFERROR(ROWS($IL$8:IL48)," ")</f>
        <v>41</v>
      </c>
      <c r="LR48" s="103" t="str">
        <f>IFERROR(IF([1]Checklist!$C$4='GenInfo (2)'!E48,'GenInfo (2)'!LQ48," ")," ")</f>
        <v xml:space="preserve"> </v>
      </c>
      <c r="LS48" s="104" t="str">
        <f>IFERROR(SMALL($LR$8:$LR$94,ROWS($IL$8:IL48))," ")</f>
        <v xml:space="preserve"> </v>
      </c>
      <c r="LT48" s="102">
        <f>IFERROR(ROWS($IL$8:IL48)," ")</f>
        <v>41</v>
      </c>
      <c r="LU48" s="103" t="str">
        <f>IFERROR(IF([1]Checklist!$C$5='GenInfo (2)'!E48,'GenInfo (2)'!LT48," ")," ")</f>
        <v xml:space="preserve"> </v>
      </c>
      <c r="LV48" s="104" t="str">
        <f>IFERROR(SMALL($LU$8:$LU$94,ROWS($IL$8:IL48))," ")</f>
        <v xml:space="preserve"> </v>
      </c>
      <c r="LW48" s="102">
        <f>IFERROR(ROWS($IL$8:IL48)," ")</f>
        <v>41</v>
      </c>
      <c r="LX48" s="103" t="str">
        <f>IFERROR(IF([1]Checklist!$C$6='GenInfo (2)'!E48,'GenInfo (2)'!LW48," ")," ")</f>
        <v xml:space="preserve"> </v>
      </c>
      <c r="LY48" s="104" t="str">
        <f>IFERROR(SMALL($LX$8:$LX$94,ROWS($IL$8:IL48))," ")</f>
        <v xml:space="preserve"> </v>
      </c>
      <c r="LZ48" s="102">
        <f>IFERROR(ROWS($IL$8:IL48)," ")</f>
        <v>41</v>
      </c>
      <c r="MA48" s="103" t="str">
        <f>IFERROR(IF([1]Checklist!$C$7='GenInfo (2)'!E48,'GenInfo (2)'!LZ48," ")," ")</f>
        <v xml:space="preserve"> </v>
      </c>
      <c r="MB48" s="104" t="str">
        <f>IFERROR(SMALL($MA$8:$MA$94,ROWS($IL$8:IL48))," ")</f>
        <v xml:space="preserve"> </v>
      </c>
      <c r="MC48" s="102">
        <f>IFERROR(ROWS($IL$8:IL48)," ")</f>
        <v>41</v>
      </c>
      <c r="MD48" s="103" t="str">
        <f>IFERROR(IF([1]Checklist!$C$8='GenInfo (2)'!E48,'GenInfo (2)'!MC48," ")," ")</f>
        <v xml:space="preserve"> </v>
      </c>
      <c r="ME48" s="104" t="str">
        <f>IFERROR(SMALL($MD$8:$MD$94,ROWS($IL$8:IL48))," ")</f>
        <v xml:space="preserve"> </v>
      </c>
      <c r="MF48" s="102">
        <f>IFERROR(ROWS($IL$8:IL48)," ")</f>
        <v>41</v>
      </c>
      <c r="MG48" s="103" t="str">
        <f>IFERROR(IF([1]Checklist!$C$9='GenInfo (2)'!E48,'GenInfo (2)'!MF48," ")," ")</f>
        <v xml:space="preserve"> </v>
      </c>
      <c r="MH48" s="104" t="str">
        <f>IFERROR(SMALL($MG$8:$MG$94,ROWS($IL$8:IL48))," ")</f>
        <v xml:space="preserve"> </v>
      </c>
      <c r="MI48" s="102">
        <f>IFERROR(ROWS($IL$8:$IL48)," ")</f>
        <v>41</v>
      </c>
      <c r="MJ48" s="103" t="str">
        <f>IFERROR(IF([1]Checklist!$C$10='GenInfo (2)'!E48,'GenInfo (2)'!MI48," ")," ")</f>
        <v xml:space="preserve"> </v>
      </c>
      <c r="MK48" s="104" t="str">
        <f>IFERROR(SMALL($MJ$8:$MJ$94,ROWS($IL$8:IL48))," ")</f>
        <v xml:space="preserve"> </v>
      </c>
      <c r="ML48" s="102">
        <f>IFERROR(ROWS($IL$8:IL48)," ")</f>
        <v>41</v>
      </c>
      <c r="MM48" s="103" t="str">
        <f>IFERROR(IF([1]Checklist!$C$11='GenInfo (2)'!E48,'GenInfo (2)'!ML48," ")," ")</f>
        <v xml:space="preserve"> </v>
      </c>
      <c r="MN48" s="104" t="str">
        <f>IFERROR(SMALL($MM$8:$MM$94,ROWS($IL$8:IL48))," ")</f>
        <v xml:space="preserve"> </v>
      </c>
      <c r="MO48" s="102">
        <f>IFERROR(ROWS($IL$8:IL48)," ")</f>
        <v>41</v>
      </c>
      <c r="MP48" s="103" t="str">
        <f>IFERROR(IF([1]Checklist!$C$12='GenInfo (2)'!E48,'GenInfo (2)'!MO48," ")," ")</f>
        <v xml:space="preserve"> </v>
      </c>
      <c r="MQ48" s="104" t="str">
        <f>IFERROR(SMALL($MP$8:$MP$94,ROWS($IL$8:IL48))," ")</f>
        <v xml:space="preserve"> </v>
      </c>
      <c r="MR48" s="102">
        <f>IFERROR(ROWS($IL$8:IL48)," ")</f>
        <v>41</v>
      </c>
      <c r="MS48" s="103" t="str">
        <f>IFERROR(IF([1]Checklist!$C$13='GenInfo (2)'!E48,'GenInfo (2)'!MR48," ")," ")</f>
        <v xml:space="preserve"> </v>
      </c>
      <c r="MT48" s="104" t="str">
        <f>IFERROR(SMALL($MS$8:$MS$94,ROWS($IL$8:IL48))," ")</f>
        <v xml:space="preserve"> </v>
      </c>
      <c r="MU48" s="102">
        <f>IFERROR(ROWS($IL$8:IL48)," ")</f>
        <v>41</v>
      </c>
      <c r="MV48" s="103" t="str">
        <f>IFERROR(IF([1]Checklist!$C$14='GenInfo (2)'!E48,'GenInfo (2)'!MU48," ")," ")</f>
        <v xml:space="preserve"> </v>
      </c>
      <c r="MW48" s="104" t="str">
        <f>IFERROR(SMALL($MV$8:$MV$94,ROWS($IL$8:IL48))," ")</f>
        <v xml:space="preserve"> </v>
      </c>
      <c r="MX48" s="102">
        <f>IFERROR(ROWS($IL$8:IL48)," ")</f>
        <v>41</v>
      </c>
      <c r="MY48" s="103">
        <f>IFERROR(IF([1]Checklist!$C$15='GenInfo (2)'!E48,'GenInfo (2)'!MX48," ")," ")</f>
        <v>41</v>
      </c>
      <c r="MZ48" s="104" t="str">
        <f>IFERROR(SMALL($MY$8:$MY$94,ROWS($IL$8:IL48))," ")</f>
        <v xml:space="preserve"> </v>
      </c>
      <c r="NA48" s="102">
        <f>IFERROR(ROWS($IL$8:IL48)," ")</f>
        <v>41</v>
      </c>
      <c r="NB48" s="103" t="str">
        <f>IFERROR(IF([1]Checklist!$C$16='GenInfo (2)'!E48,'GenInfo (2)'!NA48," ")," ")</f>
        <v xml:space="preserve"> </v>
      </c>
      <c r="NC48" s="104" t="str">
        <f>IFERROR(SMALL($NB$8:$NB$94,ROWS($IL$8:IL48))," ")</f>
        <v xml:space="preserve"> </v>
      </c>
      <c r="ND48" s="102">
        <f>IFERROR(ROWS($IL$8:IL48)," ")</f>
        <v>41</v>
      </c>
      <c r="NE48" s="103" t="str">
        <f>IFERROR(IF([1]Checklist!$C$17='GenInfo (2)'!E48,'GenInfo (2)'!ND48," ")," ")</f>
        <v xml:space="preserve"> </v>
      </c>
      <c r="NF48" s="104" t="str">
        <f>IFERROR(SMALL($NE$8:$NE$94,ROWS($IL$8:IL48))," ")</f>
        <v xml:space="preserve"> </v>
      </c>
    </row>
    <row r="49" spans="1:370" ht="14.25" x14ac:dyDescent="0.45">
      <c r="A49" s="37" t="s">
        <v>213</v>
      </c>
      <c r="B49" s="37">
        <v>253</v>
      </c>
      <c r="C49" s="146" t="s">
        <v>641</v>
      </c>
      <c r="D49" t="s">
        <v>642</v>
      </c>
      <c r="E49" s="106" t="s">
        <v>643</v>
      </c>
      <c r="F49" s="96" t="s">
        <v>644</v>
      </c>
      <c r="G49" s="107" t="s">
        <v>411</v>
      </c>
      <c r="H49" s="96"/>
      <c r="I49" s="131" t="s">
        <v>645</v>
      </c>
      <c r="J49" s="96" t="s">
        <v>646</v>
      </c>
      <c r="K49" s="111"/>
      <c r="L49" s="108" t="s">
        <v>221</v>
      </c>
      <c r="M49" s="108" t="s">
        <v>221</v>
      </c>
      <c r="N49" s="108"/>
      <c r="O49" s="109" t="s">
        <v>221</v>
      </c>
      <c r="P49" s="108"/>
      <c r="Q49" s="108"/>
      <c r="R49" s="96"/>
      <c r="S49" s="108"/>
      <c r="T49" s="96"/>
      <c r="U49" s="111"/>
      <c r="V49" s="110">
        <v>43374</v>
      </c>
      <c r="W49" s="67">
        <v>44012</v>
      </c>
      <c r="X49" s="110" t="s">
        <v>414</v>
      </c>
      <c r="Y49" s="110"/>
      <c r="Z49" s="110"/>
      <c r="AA49" s="133"/>
      <c r="AB49" s="96" t="s">
        <v>647</v>
      </c>
      <c r="AC49" s="96" t="s">
        <v>648</v>
      </c>
      <c r="AD49" s="96" t="s">
        <v>649</v>
      </c>
      <c r="AE49" s="96" t="s">
        <v>650</v>
      </c>
      <c r="AF49" s="96" t="s">
        <v>599</v>
      </c>
      <c r="AG49" s="96"/>
      <c r="AH49" s="96" t="s">
        <v>582</v>
      </c>
      <c r="AI49" s="96" t="s">
        <v>230</v>
      </c>
      <c r="AJ49" s="96">
        <v>60466</v>
      </c>
      <c r="AK49" s="111"/>
      <c r="AL49" s="71">
        <f t="shared" si="95"/>
        <v>19</v>
      </c>
      <c r="AM49" s="71">
        <f t="shared" ca="1" si="129"/>
        <v>22</v>
      </c>
      <c r="AN49" s="108">
        <v>36239</v>
      </c>
      <c r="AO49" s="72" t="str">
        <f t="shared" ca="1" si="97"/>
        <v/>
      </c>
      <c r="AP49" s="96" t="s">
        <v>231</v>
      </c>
      <c r="AQ49" s="73" t="s">
        <v>264</v>
      </c>
      <c r="AR49" s="107" t="s">
        <v>288</v>
      </c>
      <c r="AS49" s="96">
        <v>2</v>
      </c>
      <c r="AT49" s="96">
        <v>30</v>
      </c>
      <c r="AU49" s="96"/>
      <c r="AV49" s="96">
        <v>3</v>
      </c>
      <c r="AW49" s="96">
        <v>60</v>
      </c>
      <c r="AX49" s="96" t="s">
        <v>236</v>
      </c>
      <c r="AY49" s="96" t="s">
        <v>235</v>
      </c>
      <c r="AZ49" s="96" t="s">
        <v>290</v>
      </c>
      <c r="BA49" s="96" t="s">
        <v>290</v>
      </c>
      <c r="BB49" s="96"/>
      <c r="BC49" s="115">
        <v>1</v>
      </c>
      <c r="BD49" s="62"/>
      <c r="BE49" s="71">
        <f t="shared" si="98"/>
        <v>1</v>
      </c>
      <c r="BF49" s="71">
        <f t="shared" si="98"/>
        <v>1</v>
      </c>
      <c r="BG49" s="71">
        <f t="shared" si="99"/>
        <v>0</v>
      </c>
      <c r="BH49" s="74">
        <f t="shared" si="100"/>
        <v>0.9</v>
      </c>
      <c r="BI49" s="75">
        <f t="shared" si="101"/>
        <v>0</v>
      </c>
      <c r="BJ49" s="71">
        <f t="shared" si="102"/>
        <v>0</v>
      </c>
      <c r="BK49" s="75">
        <f t="shared" si="103"/>
        <v>0</v>
      </c>
      <c r="BL49" s="76">
        <f t="shared" si="104"/>
        <v>0</v>
      </c>
      <c r="BM49" s="77">
        <f t="shared" si="104"/>
        <v>0</v>
      </c>
      <c r="BN49" s="114"/>
      <c r="BO49" s="108"/>
      <c r="BP49" s="108"/>
      <c r="BQ49" s="115"/>
      <c r="BR49" s="115"/>
      <c r="BS49" s="74" t="str">
        <f t="shared" si="108"/>
        <v xml:space="preserve"> </v>
      </c>
      <c r="BT49" s="79">
        <v>0</v>
      </c>
      <c r="BU49" s="79">
        <v>0</v>
      </c>
      <c r="BV49" s="80">
        <v>0</v>
      </c>
      <c r="BW49" s="81">
        <v>0</v>
      </c>
      <c r="BX49" s="116"/>
      <c r="BY49" s="121"/>
      <c r="BZ49" s="121"/>
      <c r="CA49" s="128">
        <v>0</v>
      </c>
      <c r="CB49" s="128">
        <v>0</v>
      </c>
      <c r="CC49" s="74" t="str">
        <f t="shared" si="109"/>
        <v xml:space="preserve"> </v>
      </c>
      <c r="CD49" s="79">
        <v>0</v>
      </c>
      <c r="CE49" s="81">
        <v>0</v>
      </c>
      <c r="CF49" s="119" t="s">
        <v>336</v>
      </c>
      <c r="CG49" s="119"/>
      <c r="CH49" s="119"/>
      <c r="CI49" s="114"/>
      <c r="CJ49" s="114"/>
      <c r="CK49" s="74" t="str">
        <f t="shared" si="110"/>
        <v xml:space="preserve"> </v>
      </c>
      <c r="CL49" s="79">
        <v>0</v>
      </c>
      <c r="CM49" s="79">
        <v>0</v>
      </c>
      <c r="CN49" s="86">
        <v>0</v>
      </c>
      <c r="CO49" s="81">
        <v>0</v>
      </c>
      <c r="CP49" s="120" t="s">
        <v>336</v>
      </c>
      <c r="CQ49" s="121"/>
      <c r="CR49" s="121"/>
      <c r="CS49" s="116">
        <v>0</v>
      </c>
      <c r="CT49" s="116">
        <v>0</v>
      </c>
      <c r="CU49" s="74" t="str">
        <f t="shared" si="111"/>
        <v xml:space="preserve"> </v>
      </c>
      <c r="CV49" s="79">
        <v>0</v>
      </c>
      <c r="CW49" s="79">
        <v>0</v>
      </c>
      <c r="CX49" s="88">
        <v>0</v>
      </c>
      <c r="CY49" s="81">
        <v>0</v>
      </c>
      <c r="CZ49" s="122"/>
      <c r="DA49" s="108"/>
      <c r="DB49" s="108"/>
      <c r="DC49" s="114">
        <v>0</v>
      </c>
      <c r="DD49" s="114">
        <v>0</v>
      </c>
      <c r="DE49" s="74" t="str">
        <f t="shared" si="112"/>
        <v xml:space="preserve"> </v>
      </c>
      <c r="DF49" s="79">
        <v>0</v>
      </c>
      <c r="DG49" s="79">
        <v>0</v>
      </c>
      <c r="DH49" s="79">
        <v>0</v>
      </c>
      <c r="DI49" s="81">
        <v>0</v>
      </c>
      <c r="DJ49" s="120" t="s">
        <v>336</v>
      </c>
      <c r="DK49" s="121"/>
      <c r="DL49" s="121"/>
      <c r="DM49" s="116"/>
      <c r="DN49" s="116"/>
      <c r="DO49" s="74" t="str">
        <f t="shared" si="113"/>
        <v xml:space="preserve"> </v>
      </c>
      <c r="DP49" s="79">
        <v>0</v>
      </c>
      <c r="DQ49" s="79">
        <v>0</v>
      </c>
      <c r="DR49" s="79">
        <v>0</v>
      </c>
      <c r="DS49" s="81">
        <v>0</v>
      </c>
      <c r="DT49" s="122" t="s">
        <v>336</v>
      </c>
      <c r="DU49" s="108"/>
      <c r="DV49" s="108"/>
      <c r="DW49" s="114"/>
      <c r="DX49" s="114"/>
      <c r="DY49" s="74" t="str">
        <f t="shared" si="114"/>
        <v xml:space="preserve"> </v>
      </c>
      <c r="DZ49" s="90">
        <v>0</v>
      </c>
      <c r="EA49" s="90">
        <v>0</v>
      </c>
      <c r="EB49" s="90">
        <v>0</v>
      </c>
      <c r="EC49" s="91">
        <v>0</v>
      </c>
      <c r="ED49" s="120"/>
      <c r="EE49" s="121"/>
      <c r="EF49" s="121"/>
      <c r="EG49" s="116">
        <v>10</v>
      </c>
      <c r="EH49" s="116">
        <v>9</v>
      </c>
      <c r="EI49" s="74">
        <f t="shared" si="105"/>
        <v>0.9</v>
      </c>
      <c r="EJ49" s="92">
        <v>0</v>
      </c>
      <c r="EK49" s="92">
        <v>0</v>
      </c>
      <c r="EL49" s="92">
        <v>0</v>
      </c>
      <c r="EM49" s="93">
        <v>0</v>
      </c>
      <c r="EN49" s="122" t="s">
        <v>651</v>
      </c>
      <c r="EO49" s="108"/>
      <c r="EP49" s="108"/>
      <c r="EQ49" s="114"/>
      <c r="ER49" s="114"/>
      <c r="ES49" s="74" t="str">
        <f t="shared" si="106"/>
        <v xml:space="preserve"> </v>
      </c>
      <c r="ET49" s="94">
        <v>0</v>
      </c>
      <c r="EU49" s="90"/>
      <c r="EV49" s="94">
        <v>0</v>
      </c>
      <c r="EW49" s="95">
        <v>0</v>
      </c>
      <c r="EX49" s="120"/>
      <c r="EY49" s="121"/>
      <c r="EZ49" s="121"/>
      <c r="FA49" s="116"/>
      <c r="FB49" s="116"/>
      <c r="FC49" s="74" t="str">
        <f t="shared" si="115"/>
        <v xml:space="preserve"> </v>
      </c>
      <c r="FD49" s="123"/>
      <c r="FE49" s="123"/>
      <c r="FF49" s="123"/>
      <c r="FG49" s="123"/>
      <c r="FH49" s="76">
        <f t="shared" si="116"/>
        <v>0</v>
      </c>
      <c r="FI49" s="122"/>
      <c r="FJ49" s="108"/>
      <c r="FK49" s="108"/>
      <c r="FL49" s="114"/>
      <c r="FM49" s="114"/>
      <c r="FN49" s="74" t="str">
        <f t="shared" si="117"/>
        <v xml:space="preserve"> </v>
      </c>
      <c r="FO49" s="90"/>
      <c r="FP49" s="90"/>
      <c r="FQ49" s="90"/>
      <c r="FR49" s="90"/>
      <c r="FS49" s="76">
        <f t="shared" si="118"/>
        <v>0</v>
      </c>
      <c r="FT49" s="120"/>
      <c r="FU49" s="121"/>
      <c r="FV49" s="121"/>
      <c r="FW49" s="116"/>
      <c r="FX49" s="116"/>
      <c r="FY49" s="74" t="str">
        <f t="shared" si="119"/>
        <v xml:space="preserve"> </v>
      </c>
      <c r="FZ49" s="123"/>
      <c r="GA49" s="123"/>
      <c r="GB49" s="123"/>
      <c r="GC49" s="123"/>
      <c r="GD49" s="76">
        <f t="shared" si="120"/>
        <v>0</v>
      </c>
      <c r="GE49" s="153"/>
      <c r="GF49" s="96">
        <v>19</v>
      </c>
      <c r="GG49" s="96" t="s">
        <v>236</v>
      </c>
      <c r="GH49" s="79"/>
      <c r="GI49" s="63">
        <v>0.25</v>
      </c>
      <c r="GJ49" s="63">
        <v>1.74</v>
      </c>
      <c r="GK49" s="97">
        <f t="shared" si="84"/>
        <v>1.99</v>
      </c>
      <c r="GL49" s="63">
        <v>3</v>
      </c>
      <c r="GM49" s="79"/>
      <c r="GN49" s="97">
        <f t="shared" si="121"/>
        <v>3</v>
      </c>
      <c r="GO49" s="97">
        <f t="shared" si="122"/>
        <v>23.99</v>
      </c>
      <c r="GP49" s="130"/>
      <c r="GQ49" s="96" t="s">
        <v>213</v>
      </c>
      <c r="GR49" s="96" t="s">
        <v>213</v>
      </c>
      <c r="GS49" s="96" t="s">
        <v>213</v>
      </c>
      <c r="GT49" s="96" t="s">
        <v>213</v>
      </c>
      <c r="GU49" s="96" t="s">
        <v>213</v>
      </c>
      <c r="GV49" s="96" t="s">
        <v>213</v>
      </c>
      <c r="GW49" s="96" t="s">
        <v>213</v>
      </c>
      <c r="GX49" s="96" t="s">
        <v>213</v>
      </c>
      <c r="GY49" s="65" t="str">
        <f>IFERROR(IF(IN49&gt;0,"X",""),"")</f>
        <v>X</v>
      </c>
      <c r="GZ49" s="65" t="str">
        <f>IFERROR(IF(JC49&gt;0,"X",""),"")</f>
        <v>X</v>
      </c>
      <c r="HA49" s="100" t="s">
        <v>213</v>
      </c>
      <c r="HB49" s="100" t="s">
        <v>213</v>
      </c>
      <c r="HC49" s="100" t="s">
        <v>213</v>
      </c>
      <c r="HD49" s="100" t="s">
        <v>213</v>
      </c>
      <c r="HE49" s="100" t="s">
        <v>213</v>
      </c>
      <c r="HF49" s="100" t="s">
        <v>213</v>
      </c>
      <c r="HG49" s="100" t="s">
        <v>213</v>
      </c>
      <c r="HH49" s="115">
        <v>0</v>
      </c>
      <c r="HI49" s="100">
        <v>0</v>
      </c>
      <c r="HJ49" s="100" t="s">
        <v>213</v>
      </c>
      <c r="HK49" s="100">
        <v>0</v>
      </c>
      <c r="HL49" s="65" t="s">
        <v>237</v>
      </c>
      <c r="HM49" s="65" t="str">
        <f t="shared" si="124"/>
        <v/>
      </c>
      <c r="HN49" s="65" t="s">
        <v>239</v>
      </c>
      <c r="HO49" s="65" t="s">
        <v>237</v>
      </c>
      <c r="HP49" s="65" t="str">
        <f t="shared" si="130"/>
        <v/>
      </c>
      <c r="HQ49" s="65" t="s">
        <v>239</v>
      </c>
      <c r="HR49" s="96"/>
      <c r="HS49" s="96" t="s">
        <v>213</v>
      </c>
      <c r="HT49" s="96"/>
      <c r="HU49" s="96" t="s">
        <v>213</v>
      </c>
      <c r="HV49" s="96"/>
      <c r="HW49" s="96"/>
      <c r="HX49" s="96" t="s">
        <v>213</v>
      </c>
      <c r="HY49" s="96"/>
      <c r="HZ49" s="124" t="s">
        <v>213</v>
      </c>
      <c r="IA49" s="96" t="s">
        <v>237</v>
      </c>
      <c r="IB49" s="96" t="s">
        <v>213</v>
      </c>
      <c r="IC49" s="96" t="s">
        <v>213</v>
      </c>
      <c r="ID49" s="96" t="s">
        <v>240</v>
      </c>
      <c r="IE49" s="100" t="s">
        <v>213</v>
      </c>
      <c r="IF49" s="100" t="s">
        <v>213</v>
      </c>
      <c r="IG49" s="100" t="s">
        <v>213</v>
      </c>
      <c r="IH49" s="100" t="s">
        <v>213</v>
      </c>
      <c r="II49" s="100" t="s">
        <v>213</v>
      </c>
      <c r="IJ49" s="100" t="s">
        <v>213</v>
      </c>
      <c r="IK49" s="100" t="s">
        <v>213</v>
      </c>
      <c r="IL49" s="100">
        <v>0</v>
      </c>
      <c r="IM49" s="111"/>
      <c r="IN49" s="125">
        <v>8</v>
      </c>
      <c r="IO49" s="125"/>
      <c r="IP49" s="96"/>
      <c r="IQ49" s="96"/>
      <c r="IR49" s="96"/>
      <c r="IS49" s="96"/>
      <c r="IT49" s="96"/>
      <c r="IU49" s="96"/>
      <c r="IV49" s="96"/>
      <c r="IW49" s="96"/>
      <c r="IX49" s="96"/>
      <c r="IY49" s="96"/>
      <c r="IZ49" s="96"/>
      <c r="JA49" s="65">
        <f t="shared" si="107"/>
        <v>0</v>
      </c>
      <c r="JB49" s="96"/>
      <c r="JC49" s="125">
        <v>5.4</v>
      </c>
      <c r="JD49" s="125"/>
      <c r="JE49" s="96"/>
      <c r="JF49" s="96"/>
      <c r="JG49" s="96"/>
      <c r="JH49" s="96"/>
      <c r="JI49" s="96"/>
      <c r="JJ49" s="96"/>
      <c r="JK49" s="96"/>
      <c r="JL49" s="96"/>
      <c r="JM49" s="96"/>
      <c r="JN49" s="63"/>
      <c r="JO49" s="96"/>
      <c r="JP49" s="65">
        <f t="shared" si="133"/>
        <v>0</v>
      </c>
      <c r="JQ49" s="63"/>
      <c r="LM49" s="205"/>
      <c r="LN49" s="102">
        <f>IFERROR(ROWS($IL$8:IL49)," ")</f>
        <v>42</v>
      </c>
      <c r="LO49" s="103" t="str">
        <f>IFERROR(IF([1]Checklist!$C$3='GenInfo (2)'!E49,'GenInfo (2)'!LN49," ")," ")</f>
        <v xml:space="preserve"> </v>
      </c>
      <c r="LP49" s="104" t="str">
        <f>IFERROR(SMALL($LO$8:$LO$94,ROWS($IL$8:IL49))," ")</f>
        <v xml:space="preserve"> </v>
      </c>
      <c r="LQ49" s="102">
        <f>IFERROR(ROWS($IL$8:IL49)," ")</f>
        <v>42</v>
      </c>
      <c r="LR49" s="103" t="str">
        <f>IFERROR(IF([1]Checklist!$C$4='GenInfo (2)'!E49,'GenInfo (2)'!LQ49," ")," ")</f>
        <v xml:space="preserve"> </v>
      </c>
      <c r="LS49" s="104" t="str">
        <f>IFERROR(SMALL($LR$8:$LR$94,ROWS($IL$8:IL49))," ")</f>
        <v xml:space="preserve"> </v>
      </c>
      <c r="LT49" s="102">
        <f>IFERROR(ROWS($IL$8:IL49)," ")</f>
        <v>42</v>
      </c>
      <c r="LU49" s="103" t="str">
        <f>IFERROR(IF([1]Checklist!$C$5='GenInfo (2)'!E49,'GenInfo (2)'!LT49," ")," ")</f>
        <v xml:space="preserve"> </v>
      </c>
      <c r="LV49" s="104" t="str">
        <f>IFERROR(SMALL($LU$8:$LU$94,ROWS($IL$8:IL49))," ")</f>
        <v xml:space="preserve"> </v>
      </c>
      <c r="LW49" s="102">
        <f>IFERROR(ROWS($IL$8:IL49)," ")</f>
        <v>42</v>
      </c>
      <c r="LX49" s="103" t="str">
        <f>IFERROR(IF([1]Checklist!$C$6='GenInfo (2)'!E49,'GenInfo (2)'!LW49," ")," ")</f>
        <v xml:space="preserve"> </v>
      </c>
      <c r="LY49" s="104" t="str">
        <f>IFERROR(SMALL($LX$8:$LX$94,ROWS($IL$8:IL49))," ")</f>
        <v xml:space="preserve"> </v>
      </c>
      <c r="LZ49" s="102">
        <f>IFERROR(ROWS($IL$8:IL49)," ")</f>
        <v>42</v>
      </c>
      <c r="MA49" s="103" t="str">
        <f>IFERROR(IF([1]Checklist!$C$7='GenInfo (2)'!E49,'GenInfo (2)'!LZ49," ")," ")</f>
        <v xml:space="preserve"> </v>
      </c>
      <c r="MB49" s="104" t="str">
        <f>IFERROR(SMALL($MA$8:$MA$94,ROWS($IL$8:IL49))," ")</f>
        <v xml:space="preserve"> </v>
      </c>
      <c r="MC49" s="102">
        <f>IFERROR(ROWS($IL$8:IL49)," ")</f>
        <v>42</v>
      </c>
      <c r="MD49" s="103" t="str">
        <f>IFERROR(IF([1]Checklist!$C$8='GenInfo (2)'!E49,'GenInfo (2)'!MC49," ")," ")</f>
        <v xml:space="preserve"> </v>
      </c>
      <c r="ME49" s="104" t="str">
        <f>IFERROR(SMALL($MD$8:$MD$94,ROWS($IL$8:IL49))," ")</f>
        <v xml:space="preserve"> </v>
      </c>
      <c r="MF49" s="102">
        <f>IFERROR(ROWS($IL$8:IL49)," ")</f>
        <v>42</v>
      </c>
      <c r="MG49" s="103" t="str">
        <f>IFERROR(IF([1]Checklist!$C$9='GenInfo (2)'!E49,'GenInfo (2)'!MF49," ")," ")</f>
        <v xml:space="preserve"> </v>
      </c>
      <c r="MH49" s="104" t="str">
        <f>IFERROR(SMALL($MG$8:$MG$94,ROWS($IL$8:IL49))," ")</f>
        <v xml:space="preserve"> </v>
      </c>
      <c r="MI49" s="102">
        <f>IFERROR(ROWS($IL$8:$IL49)," ")</f>
        <v>42</v>
      </c>
      <c r="MJ49" s="103" t="str">
        <f>IFERROR(IF([1]Checklist!$C$10='GenInfo (2)'!E49,'GenInfo (2)'!MI49," ")," ")</f>
        <v xml:space="preserve"> </v>
      </c>
      <c r="MK49" s="104" t="str">
        <f>IFERROR(SMALL($MJ$8:$MJ$94,ROWS($IL$8:IL49))," ")</f>
        <v xml:space="preserve"> </v>
      </c>
      <c r="ML49" s="102">
        <f>IFERROR(ROWS($IL$8:IL49)," ")</f>
        <v>42</v>
      </c>
      <c r="MM49" s="103" t="str">
        <f>IFERROR(IF([1]Checklist!$C$11='GenInfo (2)'!E49,'GenInfo (2)'!ML49," ")," ")</f>
        <v xml:space="preserve"> </v>
      </c>
      <c r="MN49" s="104" t="str">
        <f>IFERROR(SMALL($MM$8:$MM$94,ROWS($IL$8:IL49))," ")</f>
        <v xml:space="preserve"> </v>
      </c>
      <c r="MO49" s="102">
        <f>IFERROR(ROWS($IL$8:IL49)," ")</f>
        <v>42</v>
      </c>
      <c r="MP49" s="103" t="str">
        <f>IFERROR(IF([1]Checklist!$C$12='GenInfo (2)'!E49,'GenInfo (2)'!MO49," ")," ")</f>
        <v xml:space="preserve"> </v>
      </c>
      <c r="MQ49" s="104" t="str">
        <f>IFERROR(SMALL($MP$8:$MP$94,ROWS($IL$8:IL49))," ")</f>
        <v xml:space="preserve"> </v>
      </c>
      <c r="MR49" s="102">
        <f>IFERROR(ROWS($IL$8:IL49)," ")</f>
        <v>42</v>
      </c>
      <c r="MS49" s="103" t="str">
        <f>IFERROR(IF([1]Checklist!$C$13='GenInfo (2)'!E49,'GenInfo (2)'!MR49," ")," ")</f>
        <v xml:space="preserve"> </v>
      </c>
      <c r="MT49" s="104" t="str">
        <f>IFERROR(SMALL($MS$8:$MS$94,ROWS($IL$8:IL49))," ")</f>
        <v xml:space="preserve"> </v>
      </c>
      <c r="MU49" s="102">
        <f>IFERROR(ROWS($IL$8:IL49)," ")</f>
        <v>42</v>
      </c>
      <c r="MV49" s="103" t="str">
        <f>IFERROR(IF([1]Checklist!$C$14='GenInfo (2)'!E49,'GenInfo (2)'!MU49," ")," ")</f>
        <v xml:space="preserve"> </v>
      </c>
      <c r="MW49" s="104" t="str">
        <f>IFERROR(SMALL($MV$8:$MV$94,ROWS($IL$8:IL49))," ")</f>
        <v xml:space="preserve"> </v>
      </c>
      <c r="MX49" s="102">
        <f>IFERROR(ROWS($IL$8:IL49)," ")</f>
        <v>42</v>
      </c>
      <c r="MY49" s="103" t="str">
        <f>IFERROR(IF([1]Checklist!$C$15='GenInfo (2)'!E49,'GenInfo (2)'!MX49," ")," ")</f>
        <v xml:space="preserve"> </v>
      </c>
      <c r="MZ49" s="104" t="str">
        <f>IFERROR(SMALL($MY$8:$MY$94,ROWS($IL$8:IL49))," ")</f>
        <v xml:space="preserve"> </v>
      </c>
      <c r="NA49" s="102">
        <f>IFERROR(ROWS($IL$8:IL49)," ")</f>
        <v>42</v>
      </c>
      <c r="NB49" s="103">
        <f>IFERROR(IF([1]Checklist!$C$16='GenInfo (2)'!E49,'GenInfo (2)'!NA49," ")," ")</f>
        <v>42</v>
      </c>
      <c r="NC49" s="104" t="str">
        <f>IFERROR(SMALL($NB$8:$NB$94,ROWS($IL$8:IL49))," ")</f>
        <v xml:space="preserve"> </v>
      </c>
      <c r="ND49" s="102">
        <f>IFERROR(ROWS($IL$8:IL49)," ")</f>
        <v>42</v>
      </c>
      <c r="NE49" s="103" t="str">
        <f>IFERROR(IF([1]Checklist!$C$17='GenInfo (2)'!E49,'GenInfo (2)'!ND49," ")," ")</f>
        <v xml:space="preserve"> </v>
      </c>
      <c r="NF49" s="104" t="str">
        <f>IFERROR(SMALL($NE$8:$NE$94,ROWS($IL$8:IL49))," ")</f>
        <v xml:space="preserve"> </v>
      </c>
    </row>
    <row r="50" spans="1:370" ht="14.25" x14ac:dyDescent="0.45">
      <c r="A50" s="37" t="s">
        <v>213</v>
      </c>
      <c r="B50" s="37">
        <v>254</v>
      </c>
      <c r="C50" s="146" t="s">
        <v>652</v>
      </c>
      <c r="D50" t="s">
        <v>653</v>
      </c>
      <c r="E50" s="106" t="s">
        <v>643</v>
      </c>
      <c r="F50" s="96" t="s">
        <v>654</v>
      </c>
      <c r="G50" s="107" t="s">
        <v>411</v>
      </c>
      <c r="H50" s="96"/>
      <c r="I50" s="131" t="s">
        <v>655</v>
      </c>
      <c r="J50" s="96" t="s">
        <v>656</v>
      </c>
      <c r="K50" s="111"/>
      <c r="L50" s="108">
        <v>43724</v>
      </c>
      <c r="M50" s="108">
        <v>43724</v>
      </c>
      <c r="N50" s="108" t="s">
        <v>213</v>
      </c>
      <c r="O50" s="109">
        <v>43709</v>
      </c>
      <c r="P50" s="108"/>
      <c r="Q50" s="108"/>
      <c r="R50" s="96"/>
      <c r="S50" s="108"/>
      <c r="T50" s="96"/>
      <c r="U50" s="111"/>
      <c r="V50" s="108">
        <v>43241</v>
      </c>
      <c r="W50" s="67">
        <v>44012</v>
      </c>
      <c r="X50" s="110" t="s">
        <v>414</v>
      </c>
      <c r="Y50" s="108"/>
      <c r="Z50" s="110"/>
      <c r="AA50" s="111"/>
      <c r="AB50" s="96" t="s">
        <v>657</v>
      </c>
      <c r="AC50" s="96" t="s">
        <v>658</v>
      </c>
      <c r="AD50" s="126" t="s">
        <v>659</v>
      </c>
      <c r="AE50" s="96" t="s">
        <v>660</v>
      </c>
      <c r="AF50" s="96" t="s">
        <v>661</v>
      </c>
      <c r="AG50" s="96"/>
      <c r="AH50" s="96" t="s">
        <v>251</v>
      </c>
      <c r="AI50" s="96" t="s">
        <v>230</v>
      </c>
      <c r="AJ50" s="96">
        <v>60608</v>
      </c>
      <c r="AK50" s="111"/>
      <c r="AL50" s="71">
        <f t="shared" si="95"/>
        <v>16</v>
      </c>
      <c r="AM50" s="71">
        <f t="shared" ca="1" si="129"/>
        <v>19</v>
      </c>
      <c r="AN50" s="108">
        <v>37314</v>
      </c>
      <c r="AO50" s="72">
        <f t="shared" ca="1" si="97"/>
        <v>12</v>
      </c>
      <c r="AP50" s="113" t="s">
        <v>313</v>
      </c>
      <c r="AQ50" s="73" t="s">
        <v>264</v>
      </c>
      <c r="AR50" s="107" t="s">
        <v>233</v>
      </c>
      <c r="AS50" s="96">
        <v>1</v>
      </c>
      <c r="AT50" s="96"/>
      <c r="AU50" s="96">
        <v>14</v>
      </c>
      <c r="AV50" s="96">
        <v>1</v>
      </c>
      <c r="AW50" s="96">
        <v>1095</v>
      </c>
      <c r="AX50" s="96" t="s">
        <v>236</v>
      </c>
      <c r="AY50" s="96" t="s">
        <v>265</v>
      </c>
      <c r="AZ50" s="96" t="s">
        <v>265</v>
      </c>
      <c r="BA50" s="96" t="s">
        <v>265</v>
      </c>
      <c r="BB50" s="96"/>
      <c r="BC50" s="115"/>
      <c r="BD50" s="62"/>
      <c r="BE50" s="71">
        <f t="shared" si="98"/>
        <v>5</v>
      </c>
      <c r="BF50" s="71">
        <f t="shared" si="98"/>
        <v>5</v>
      </c>
      <c r="BG50" s="71">
        <f t="shared" si="99"/>
        <v>3</v>
      </c>
      <c r="BH50" s="74">
        <f t="shared" si="100"/>
        <v>0.48898989898989892</v>
      </c>
      <c r="BI50" s="75">
        <f t="shared" si="101"/>
        <v>0.6</v>
      </c>
      <c r="BJ50" s="71">
        <f t="shared" si="102"/>
        <v>5</v>
      </c>
      <c r="BK50" s="75">
        <f t="shared" si="103"/>
        <v>1</v>
      </c>
      <c r="BL50" s="76">
        <f t="shared" si="104"/>
        <v>23</v>
      </c>
      <c r="BM50" s="77">
        <f t="shared" si="104"/>
        <v>173</v>
      </c>
      <c r="BN50" s="114"/>
      <c r="BO50" s="108"/>
      <c r="BP50" s="108"/>
      <c r="BQ50" s="115"/>
      <c r="BR50" s="115"/>
      <c r="BS50" s="74" t="str">
        <f t="shared" si="108"/>
        <v xml:space="preserve"> </v>
      </c>
      <c r="BT50" s="79">
        <v>0</v>
      </c>
      <c r="BU50" s="79">
        <v>0</v>
      </c>
      <c r="BV50" s="80">
        <v>0</v>
      </c>
      <c r="BW50" s="81">
        <v>0</v>
      </c>
      <c r="BX50" s="116"/>
      <c r="BY50" s="121"/>
      <c r="BZ50" s="121"/>
      <c r="CA50" s="128">
        <v>0</v>
      </c>
      <c r="CB50" s="128">
        <v>0</v>
      </c>
      <c r="CC50" s="74" t="str">
        <f t="shared" si="109"/>
        <v xml:space="preserve"> </v>
      </c>
      <c r="CD50" s="79">
        <v>0</v>
      </c>
      <c r="CE50" s="81">
        <v>0</v>
      </c>
      <c r="CF50" s="119"/>
      <c r="CG50" s="119"/>
      <c r="CH50" s="119"/>
      <c r="CI50" s="114">
        <v>20</v>
      </c>
      <c r="CJ50" s="114">
        <v>7</v>
      </c>
      <c r="CK50" s="74">
        <f t="shared" si="110"/>
        <v>0.35</v>
      </c>
      <c r="CL50" s="79">
        <v>2</v>
      </c>
      <c r="CM50" s="79">
        <v>0</v>
      </c>
      <c r="CN50" s="86">
        <v>2</v>
      </c>
      <c r="CO50" s="81">
        <v>12</v>
      </c>
      <c r="CP50" s="120"/>
      <c r="CQ50" s="121"/>
      <c r="CR50" s="121"/>
      <c r="CS50" s="116">
        <v>22</v>
      </c>
      <c r="CT50" s="116">
        <v>17</v>
      </c>
      <c r="CU50" s="74">
        <f t="shared" si="111"/>
        <v>0.77272727272727271</v>
      </c>
      <c r="CV50" s="79">
        <v>19</v>
      </c>
      <c r="CW50" s="79">
        <v>8</v>
      </c>
      <c r="CX50" s="88">
        <v>27</v>
      </c>
      <c r="CY50" s="81">
        <v>267</v>
      </c>
      <c r="CZ50" s="122"/>
      <c r="DA50" s="108"/>
      <c r="DB50" s="108"/>
      <c r="DC50" s="114">
        <v>15</v>
      </c>
      <c r="DD50" s="114">
        <v>5</v>
      </c>
      <c r="DE50" s="74">
        <f t="shared" si="112"/>
        <v>0.33333333333333331</v>
      </c>
      <c r="DF50" s="79">
        <v>4</v>
      </c>
      <c r="DG50" s="79">
        <v>0</v>
      </c>
      <c r="DH50" s="79">
        <v>4</v>
      </c>
      <c r="DI50" s="81">
        <v>52</v>
      </c>
      <c r="DJ50" s="120"/>
      <c r="DK50" s="121"/>
      <c r="DL50" s="121"/>
      <c r="DM50" s="116">
        <v>15</v>
      </c>
      <c r="DN50" s="116">
        <v>9</v>
      </c>
      <c r="DO50" s="74">
        <f t="shared" si="113"/>
        <v>0.6</v>
      </c>
      <c r="DP50" s="79">
        <v>0</v>
      </c>
      <c r="DQ50" s="79">
        <v>5</v>
      </c>
      <c r="DR50" s="79">
        <v>5</v>
      </c>
      <c r="DS50" s="81">
        <v>30</v>
      </c>
      <c r="DT50" s="122"/>
      <c r="DU50" s="108"/>
      <c r="DV50" s="108"/>
      <c r="DW50" s="114">
        <v>18</v>
      </c>
      <c r="DX50" s="114">
        <v>7</v>
      </c>
      <c r="DY50" s="74">
        <f t="shared" si="114"/>
        <v>0.3888888888888889</v>
      </c>
      <c r="DZ50" s="90">
        <v>0</v>
      </c>
      <c r="EA50" s="90">
        <v>0</v>
      </c>
      <c r="EB50" s="90">
        <v>0</v>
      </c>
      <c r="EC50" s="91">
        <v>0</v>
      </c>
      <c r="ED50" s="120"/>
      <c r="EE50" s="121"/>
      <c r="EF50" s="121"/>
      <c r="EG50" s="116"/>
      <c r="EH50" s="116"/>
      <c r="EI50" s="74" t="str">
        <f t="shared" si="105"/>
        <v xml:space="preserve"> </v>
      </c>
      <c r="EJ50" s="92">
        <v>0</v>
      </c>
      <c r="EK50" s="92">
        <v>4</v>
      </c>
      <c r="EL50" s="92">
        <v>4</v>
      </c>
      <c r="EM50" s="93">
        <v>52</v>
      </c>
      <c r="EN50" s="122"/>
      <c r="EO50" s="108"/>
      <c r="EP50" s="108"/>
      <c r="EQ50" s="114"/>
      <c r="ER50" s="114"/>
      <c r="ES50" s="74" t="str">
        <f t="shared" si="106"/>
        <v xml:space="preserve"> </v>
      </c>
      <c r="ET50" s="94">
        <v>0</v>
      </c>
      <c r="EU50" s="90"/>
      <c r="EV50" s="94">
        <v>0</v>
      </c>
      <c r="EW50" s="95">
        <v>0</v>
      </c>
      <c r="EX50" s="120"/>
      <c r="EY50" s="121"/>
      <c r="EZ50" s="121"/>
      <c r="FA50" s="116"/>
      <c r="FB50" s="116"/>
      <c r="FC50" s="74" t="str">
        <f t="shared" si="115"/>
        <v xml:space="preserve"> </v>
      </c>
      <c r="FD50" s="123"/>
      <c r="FE50" s="123"/>
      <c r="FF50" s="123"/>
      <c r="FG50" s="123"/>
      <c r="FH50" s="76">
        <f t="shared" si="116"/>
        <v>0</v>
      </c>
      <c r="FI50" s="122"/>
      <c r="FJ50" s="108"/>
      <c r="FK50" s="108"/>
      <c r="FL50" s="114"/>
      <c r="FM50" s="114"/>
      <c r="FN50" s="74" t="str">
        <f t="shared" si="117"/>
        <v xml:space="preserve"> </v>
      </c>
      <c r="FO50" s="90"/>
      <c r="FP50" s="90"/>
      <c r="FQ50" s="90"/>
      <c r="FR50" s="90"/>
      <c r="FS50" s="76">
        <f t="shared" si="118"/>
        <v>0</v>
      </c>
      <c r="FT50" s="120"/>
      <c r="FU50" s="121"/>
      <c r="FV50" s="121"/>
      <c r="FW50" s="116"/>
      <c r="FX50" s="116"/>
      <c r="FY50" s="74" t="str">
        <f t="shared" si="119"/>
        <v xml:space="preserve"> </v>
      </c>
      <c r="FZ50" s="123"/>
      <c r="GA50" s="123"/>
      <c r="GB50" s="123"/>
      <c r="GC50" s="123"/>
      <c r="GD50" s="76">
        <f t="shared" si="120"/>
        <v>0</v>
      </c>
      <c r="GE50" s="153"/>
      <c r="GF50" s="96">
        <v>17</v>
      </c>
      <c r="GG50" s="96" t="s">
        <v>236</v>
      </c>
      <c r="GH50" s="79"/>
      <c r="GI50" s="63">
        <v>0.37</v>
      </c>
      <c r="GJ50" s="63">
        <v>0.37</v>
      </c>
      <c r="GK50" s="97">
        <f t="shared" si="84"/>
        <v>0.74</v>
      </c>
      <c r="GL50" s="63">
        <v>0</v>
      </c>
      <c r="GM50" s="79"/>
      <c r="GN50" s="97">
        <f t="shared" si="121"/>
        <v>0</v>
      </c>
      <c r="GO50" s="97">
        <f t="shared" si="122"/>
        <v>17.739999999999998</v>
      </c>
      <c r="GP50" s="130"/>
      <c r="GQ50" s="96" t="s">
        <v>213</v>
      </c>
      <c r="GR50" s="96" t="s">
        <v>213</v>
      </c>
      <c r="GS50" s="96" t="s">
        <v>213</v>
      </c>
      <c r="GT50" s="96" t="s">
        <v>213</v>
      </c>
      <c r="GU50" s="96" t="s">
        <v>213</v>
      </c>
      <c r="GV50" s="96" t="s">
        <v>213</v>
      </c>
      <c r="GW50" s="96" t="s">
        <v>213</v>
      </c>
      <c r="GX50" s="96" t="s">
        <v>213</v>
      </c>
      <c r="GY50" s="65" t="str">
        <f>IFERROR(IF(IN50&gt;0,"X",""),"")</f>
        <v>X</v>
      </c>
      <c r="GZ50" s="65" t="str">
        <f>IFERROR(IF(JC50&gt;0,"X",""),"")</f>
        <v>X</v>
      </c>
      <c r="HA50" s="100" t="s">
        <v>213</v>
      </c>
      <c r="HB50" s="100" t="s">
        <v>213</v>
      </c>
      <c r="HC50" s="100" t="s">
        <v>213</v>
      </c>
      <c r="HD50" s="100" t="s">
        <v>213</v>
      </c>
      <c r="HE50" s="100" t="s">
        <v>213</v>
      </c>
      <c r="HF50" s="100" t="s">
        <v>237</v>
      </c>
      <c r="HG50" s="100" t="s">
        <v>213</v>
      </c>
      <c r="HH50" s="115">
        <v>2</v>
      </c>
      <c r="HI50" s="100">
        <v>0</v>
      </c>
      <c r="HJ50" s="100">
        <v>0</v>
      </c>
      <c r="HK50" s="100">
        <v>0</v>
      </c>
      <c r="HL50" s="65" t="str">
        <f>IFERROR(IF(OR(IQ50&gt;0,IR50&gt;0,IS50&gt;0),"x",""),"")</f>
        <v>x</v>
      </c>
      <c r="HM50" s="65" t="str">
        <f t="shared" si="124"/>
        <v/>
      </c>
      <c r="HN50" s="65" t="s">
        <v>239</v>
      </c>
      <c r="HO50" s="65" t="str">
        <f>IFERROR(IF(OR(JE50&gt;0,JF50&gt;0,JG50&gt;0,JH50&gt;0),"x",""),"")</f>
        <v>x</v>
      </c>
      <c r="HP50" s="65" t="str">
        <f t="shared" si="130"/>
        <v/>
      </c>
      <c r="HQ50" s="65" t="s">
        <v>239</v>
      </c>
      <c r="HR50" s="96"/>
      <c r="HS50" s="96" t="s">
        <v>213</v>
      </c>
      <c r="HT50" s="96"/>
      <c r="HU50" s="96"/>
      <c r="HV50" s="96"/>
      <c r="HW50" s="96"/>
      <c r="HX50" s="96" t="s">
        <v>213</v>
      </c>
      <c r="HY50" s="96"/>
      <c r="HZ50" s="96" t="s">
        <v>213</v>
      </c>
      <c r="IA50" s="96" t="s">
        <v>237</v>
      </c>
      <c r="IB50" s="96" t="s">
        <v>213</v>
      </c>
      <c r="IC50" s="96" t="s">
        <v>213</v>
      </c>
      <c r="ID50" s="63" t="s">
        <v>240</v>
      </c>
      <c r="IE50" s="100" t="s">
        <v>213</v>
      </c>
      <c r="IF50" s="100" t="s">
        <v>213</v>
      </c>
      <c r="IG50" s="100" t="s">
        <v>213</v>
      </c>
      <c r="IH50" s="100" t="s">
        <v>213</v>
      </c>
      <c r="II50" s="100" t="s">
        <v>213</v>
      </c>
      <c r="IJ50" s="100" t="s">
        <v>213</v>
      </c>
      <c r="IK50" s="100" t="s">
        <v>213</v>
      </c>
      <c r="IL50" s="100" t="s">
        <v>213</v>
      </c>
      <c r="IM50" s="111"/>
      <c r="IN50" s="125" t="s">
        <v>239</v>
      </c>
      <c r="IO50" s="125"/>
      <c r="IP50" s="96"/>
      <c r="IQ50" s="96">
        <v>3.9</v>
      </c>
      <c r="IR50" s="96"/>
      <c r="IS50" s="96"/>
      <c r="IT50" s="96"/>
      <c r="IU50" s="96"/>
      <c r="IV50" s="96"/>
      <c r="IW50" s="96"/>
      <c r="IX50" s="96"/>
      <c r="IY50" s="96"/>
      <c r="IZ50" s="96"/>
      <c r="JA50" s="65">
        <f t="shared" si="107"/>
        <v>1</v>
      </c>
      <c r="JB50" s="96"/>
      <c r="JC50" s="125" t="s">
        <v>239</v>
      </c>
      <c r="JD50" s="125"/>
      <c r="JE50" s="96"/>
      <c r="JF50" s="96">
        <v>2.6</v>
      </c>
      <c r="JG50" s="96">
        <v>4.0999999999999996</v>
      </c>
      <c r="JH50" s="96"/>
      <c r="JI50" s="96"/>
      <c r="JJ50" s="96"/>
      <c r="JK50" s="96"/>
      <c r="JL50" s="96"/>
      <c r="JM50" s="96"/>
      <c r="JN50" s="96"/>
      <c r="JO50" s="96"/>
      <c r="JP50" s="65">
        <f t="shared" si="133"/>
        <v>2</v>
      </c>
      <c r="JQ50" s="96"/>
      <c r="LM50" s="205"/>
      <c r="LN50" s="102">
        <f>IFERROR(ROWS($IL$8:IL50)," ")</f>
        <v>43</v>
      </c>
      <c r="LO50" s="103" t="str">
        <f>IFERROR(IF([1]Checklist!$C$3='GenInfo (2)'!E50,'GenInfo (2)'!LN50," ")," ")</f>
        <v xml:space="preserve"> </v>
      </c>
      <c r="LP50" s="104" t="str">
        <f>IFERROR(SMALL($LO$8:$LO$94,ROWS($IL$8:IL50))," ")</f>
        <v xml:space="preserve"> </v>
      </c>
      <c r="LQ50" s="102">
        <f>IFERROR(ROWS($IL$8:IL50)," ")</f>
        <v>43</v>
      </c>
      <c r="LR50" s="103" t="str">
        <f>IFERROR(IF([1]Checklist!$C$4='GenInfo (2)'!E50,'GenInfo (2)'!LQ50," ")," ")</f>
        <v xml:space="preserve"> </v>
      </c>
      <c r="LS50" s="104" t="str">
        <f>IFERROR(SMALL($LR$8:$LR$94,ROWS($IL$8:IL50))," ")</f>
        <v xml:space="preserve"> </v>
      </c>
      <c r="LT50" s="102">
        <f>IFERROR(ROWS($IL$8:IL50)," ")</f>
        <v>43</v>
      </c>
      <c r="LU50" s="103" t="str">
        <f>IFERROR(IF([1]Checklist!$C$5='GenInfo (2)'!E50,'GenInfo (2)'!LT50," ")," ")</f>
        <v xml:space="preserve"> </v>
      </c>
      <c r="LV50" s="104" t="str">
        <f>IFERROR(SMALL($LU$8:$LU$94,ROWS($IL$8:IL50))," ")</f>
        <v xml:space="preserve"> </v>
      </c>
      <c r="LW50" s="102">
        <f>IFERROR(ROWS($IL$8:IL50)," ")</f>
        <v>43</v>
      </c>
      <c r="LX50" s="103" t="str">
        <f>IFERROR(IF([1]Checklist!$C$6='GenInfo (2)'!E50,'GenInfo (2)'!LW50," ")," ")</f>
        <v xml:space="preserve"> </v>
      </c>
      <c r="LY50" s="104" t="str">
        <f>IFERROR(SMALL($LX$8:$LX$94,ROWS($IL$8:IL50))," ")</f>
        <v xml:space="preserve"> </v>
      </c>
      <c r="LZ50" s="102">
        <f>IFERROR(ROWS($IL$8:IL50)," ")</f>
        <v>43</v>
      </c>
      <c r="MA50" s="103" t="str">
        <f>IFERROR(IF([1]Checklist!$C$7='GenInfo (2)'!E50,'GenInfo (2)'!LZ50," ")," ")</f>
        <v xml:space="preserve"> </v>
      </c>
      <c r="MB50" s="104" t="str">
        <f>IFERROR(SMALL($MA$8:$MA$94,ROWS($IL$8:IL50))," ")</f>
        <v xml:space="preserve"> </v>
      </c>
      <c r="MC50" s="102">
        <f>IFERROR(ROWS($IL$8:IL50)," ")</f>
        <v>43</v>
      </c>
      <c r="MD50" s="103" t="str">
        <f>IFERROR(IF([1]Checklist!$C$8='GenInfo (2)'!E50,'GenInfo (2)'!MC50," ")," ")</f>
        <v xml:space="preserve"> </v>
      </c>
      <c r="ME50" s="104" t="str">
        <f>IFERROR(SMALL($MD$8:$MD$94,ROWS($IL$8:IL50))," ")</f>
        <v xml:space="preserve"> </v>
      </c>
      <c r="MF50" s="102">
        <f>IFERROR(ROWS($IL$8:IL50)," ")</f>
        <v>43</v>
      </c>
      <c r="MG50" s="103" t="str">
        <f>IFERROR(IF([1]Checklist!$C$9='GenInfo (2)'!E50,'GenInfo (2)'!MF50," ")," ")</f>
        <v xml:space="preserve"> </v>
      </c>
      <c r="MH50" s="104" t="str">
        <f>IFERROR(SMALL($MG$8:$MG$94,ROWS($IL$8:IL50))," ")</f>
        <v xml:space="preserve"> </v>
      </c>
      <c r="MI50" s="102">
        <f>IFERROR(ROWS($IL$8:$IL50)," ")</f>
        <v>43</v>
      </c>
      <c r="MJ50" s="103" t="str">
        <f>IFERROR(IF([1]Checklist!$C$10='GenInfo (2)'!E50,'GenInfo (2)'!MI50," ")," ")</f>
        <v xml:space="preserve"> </v>
      </c>
      <c r="MK50" s="104" t="str">
        <f>IFERROR(SMALL($MJ$8:$MJ$94,ROWS($IL$8:IL50))," ")</f>
        <v xml:space="preserve"> </v>
      </c>
      <c r="ML50" s="102">
        <f>IFERROR(ROWS($IL$8:IL50)," ")</f>
        <v>43</v>
      </c>
      <c r="MM50" s="103" t="str">
        <f>IFERROR(IF([1]Checklist!$C$11='GenInfo (2)'!E50,'GenInfo (2)'!ML50," ")," ")</f>
        <v xml:space="preserve"> </v>
      </c>
      <c r="MN50" s="104" t="str">
        <f>IFERROR(SMALL($MM$8:$MM$94,ROWS($IL$8:IL50))," ")</f>
        <v xml:space="preserve"> </v>
      </c>
      <c r="MO50" s="102">
        <f>IFERROR(ROWS($IL$8:IL50)," ")</f>
        <v>43</v>
      </c>
      <c r="MP50" s="103" t="str">
        <f>IFERROR(IF([1]Checklist!$C$12='GenInfo (2)'!E50,'GenInfo (2)'!MO50," ")," ")</f>
        <v xml:space="preserve"> </v>
      </c>
      <c r="MQ50" s="104" t="str">
        <f>IFERROR(SMALL($MP$8:$MP$94,ROWS($IL$8:IL50))," ")</f>
        <v xml:space="preserve"> </v>
      </c>
      <c r="MR50" s="102">
        <f>IFERROR(ROWS($IL$8:IL50)," ")</f>
        <v>43</v>
      </c>
      <c r="MS50" s="103" t="str">
        <f>IFERROR(IF([1]Checklist!$C$13='GenInfo (2)'!E50,'GenInfo (2)'!MR50," ")," ")</f>
        <v xml:space="preserve"> </v>
      </c>
      <c r="MT50" s="104" t="str">
        <f>IFERROR(SMALL($MS$8:$MS$94,ROWS($IL$8:IL50))," ")</f>
        <v xml:space="preserve"> </v>
      </c>
      <c r="MU50" s="102">
        <f>IFERROR(ROWS($IL$8:IL50)," ")</f>
        <v>43</v>
      </c>
      <c r="MV50" s="103" t="str">
        <f>IFERROR(IF([1]Checklist!$C$14='GenInfo (2)'!E50,'GenInfo (2)'!MU50," ")," ")</f>
        <v xml:space="preserve"> </v>
      </c>
      <c r="MW50" s="104" t="str">
        <f>IFERROR(SMALL($MV$8:$MV$94,ROWS($IL$8:IL50))," ")</f>
        <v xml:space="preserve"> </v>
      </c>
      <c r="MX50" s="102">
        <f>IFERROR(ROWS($IL$8:IL50)," ")</f>
        <v>43</v>
      </c>
      <c r="MY50" s="103" t="str">
        <f>IFERROR(IF([1]Checklist!$C$15='GenInfo (2)'!E50,'GenInfo (2)'!MX50," ")," ")</f>
        <v xml:space="preserve"> </v>
      </c>
      <c r="MZ50" s="104" t="str">
        <f>IFERROR(SMALL($MY$8:$MY$94,ROWS($IL$8:IL50))," ")</f>
        <v xml:space="preserve"> </v>
      </c>
      <c r="NA50" s="102">
        <f>IFERROR(ROWS($IL$8:IL50)," ")</f>
        <v>43</v>
      </c>
      <c r="NB50" s="103">
        <f>IFERROR(IF([1]Checklist!$C$16='GenInfo (2)'!E50,'GenInfo (2)'!NA50," ")," ")</f>
        <v>43</v>
      </c>
      <c r="NC50" s="104" t="str">
        <f>IFERROR(SMALL($NB$8:$NB$94,ROWS($IL$8:IL50))," ")</f>
        <v xml:space="preserve"> </v>
      </c>
      <c r="ND50" s="102">
        <f>IFERROR(ROWS($IL$8:IL50)," ")</f>
        <v>43</v>
      </c>
      <c r="NE50" s="103" t="str">
        <f>IFERROR(IF([1]Checklist!$C$17='GenInfo (2)'!E50,'GenInfo (2)'!ND50," ")," ")</f>
        <v xml:space="preserve"> </v>
      </c>
      <c r="NF50" s="104" t="str">
        <f>IFERROR(SMALL($NE$8:$NE$94,ROWS($IL$8:IL50))," ")</f>
        <v xml:space="preserve"> </v>
      </c>
    </row>
    <row r="51" spans="1:370" ht="14.25" x14ac:dyDescent="0.45">
      <c r="A51" s="37" t="s">
        <v>213</v>
      </c>
      <c r="B51" s="37">
        <v>259</v>
      </c>
      <c r="C51" s="146" t="s">
        <v>662</v>
      </c>
      <c r="D51" t="s">
        <v>663</v>
      </c>
      <c r="E51" s="64" t="s">
        <v>643</v>
      </c>
      <c r="F51" s="63" t="s">
        <v>664</v>
      </c>
      <c r="G51" s="64" t="s">
        <v>218</v>
      </c>
      <c r="H51" s="63"/>
      <c r="I51" s="137" t="s">
        <v>665</v>
      </c>
      <c r="J51" s="63" t="s">
        <v>666</v>
      </c>
      <c r="K51" s="62"/>
      <c r="L51" s="67">
        <v>43739</v>
      </c>
      <c r="M51" s="67">
        <v>43740</v>
      </c>
      <c r="N51" s="67" t="s">
        <v>213</v>
      </c>
      <c r="O51" s="68">
        <v>43739</v>
      </c>
      <c r="P51" s="67">
        <v>43740</v>
      </c>
      <c r="Q51" s="67">
        <v>43775</v>
      </c>
      <c r="R51" s="63" t="s">
        <v>297</v>
      </c>
      <c r="S51" s="67"/>
      <c r="T51" s="63"/>
      <c r="U51" s="62"/>
      <c r="V51" s="67">
        <v>43776</v>
      </c>
      <c r="W51" s="63" t="s">
        <v>222</v>
      </c>
      <c r="X51" s="69"/>
      <c r="Y51" s="67"/>
      <c r="Z51" s="69"/>
      <c r="AA51" s="62"/>
      <c r="AB51" s="63" t="s">
        <v>667</v>
      </c>
      <c r="AC51" s="63" t="s">
        <v>668</v>
      </c>
      <c r="AD51" s="63" t="s">
        <v>669</v>
      </c>
      <c r="AE51" s="63" t="s">
        <v>670</v>
      </c>
      <c r="AF51" s="63" t="s">
        <v>599</v>
      </c>
      <c r="AG51" s="63"/>
      <c r="AH51" s="63" t="s">
        <v>582</v>
      </c>
      <c r="AI51" s="63" t="s">
        <v>230</v>
      </c>
      <c r="AJ51" s="63">
        <v>60466</v>
      </c>
      <c r="AK51" s="62"/>
      <c r="AL51" s="71">
        <f t="shared" si="95"/>
        <v>20</v>
      </c>
      <c r="AM51" s="71">
        <f t="shared" ca="1" si="129"/>
        <v>22</v>
      </c>
      <c r="AN51" s="67">
        <v>36403</v>
      </c>
      <c r="AO51" s="72" t="str">
        <f t="shared" ca="1" si="97"/>
        <v/>
      </c>
      <c r="AP51" s="63" t="s">
        <v>231</v>
      </c>
      <c r="AQ51" s="73" t="s">
        <v>264</v>
      </c>
      <c r="AR51" s="70" t="s">
        <v>276</v>
      </c>
      <c r="AS51" s="63">
        <v>2</v>
      </c>
      <c r="AT51" s="63">
        <v>540</v>
      </c>
      <c r="AU51" s="63">
        <v>12</v>
      </c>
      <c r="AV51" s="63">
        <v>9</v>
      </c>
      <c r="AW51" s="63">
        <v>540</v>
      </c>
      <c r="AX51" s="63" t="s">
        <v>236</v>
      </c>
      <c r="AY51" s="63" t="s">
        <v>290</v>
      </c>
      <c r="AZ51" s="63" t="s">
        <v>290</v>
      </c>
      <c r="BA51" s="63" t="s">
        <v>290</v>
      </c>
      <c r="BB51" s="63"/>
      <c r="BC51" s="63">
        <v>1</v>
      </c>
      <c r="BD51" s="62"/>
      <c r="BE51" s="71">
        <f t="shared" si="98"/>
        <v>3</v>
      </c>
      <c r="BF51" s="71">
        <f t="shared" si="98"/>
        <v>2</v>
      </c>
      <c r="BG51" s="71">
        <f t="shared" si="99"/>
        <v>2</v>
      </c>
      <c r="BH51" s="74">
        <f t="shared" si="100"/>
        <v>0.31851851851851853</v>
      </c>
      <c r="BI51" s="75">
        <f t="shared" si="101"/>
        <v>0.66666666666666663</v>
      </c>
      <c r="BJ51" s="71">
        <f t="shared" si="102"/>
        <v>1</v>
      </c>
      <c r="BK51" s="75">
        <f t="shared" si="103"/>
        <v>0.33333333333333331</v>
      </c>
      <c r="BL51" s="76">
        <f t="shared" si="104"/>
        <v>14</v>
      </c>
      <c r="BM51" s="77">
        <f t="shared" si="104"/>
        <v>140</v>
      </c>
      <c r="BN51" s="78"/>
      <c r="BO51" s="67"/>
      <c r="BP51" s="67"/>
      <c r="BQ51" s="63"/>
      <c r="BR51" s="63"/>
      <c r="BS51" s="74" t="str">
        <f t="shared" si="108"/>
        <v xml:space="preserve"> </v>
      </c>
      <c r="BT51" s="79">
        <v>0</v>
      </c>
      <c r="BU51" s="79">
        <v>0</v>
      </c>
      <c r="BV51" s="80">
        <v>0</v>
      </c>
      <c r="BW51" s="81">
        <v>0</v>
      </c>
      <c r="BX51" s="82"/>
      <c r="BY51" s="83"/>
      <c r="BZ51" s="83"/>
      <c r="CA51" s="84"/>
      <c r="CB51" s="84"/>
      <c r="CC51" s="74" t="str">
        <f t="shared" si="109"/>
        <v xml:space="preserve"> </v>
      </c>
      <c r="CD51" s="79">
        <v>0</v>
      </c>
      <c r="CE51" s="81">
        <v>0</v>
      </c>
      <c r="CF51" s="85"/>
      <c r="CG51" s="85"/>
      <c r="CH51" s="85"/>
      <c r="CI51" s="78"/>
      <c r="CJ51" s="78"/>
      <c r="CK51" s="74" t="str">
        <f t="shared" si="110"/>
        <v xml:space="preserve"> </v>
      </c>
      <c r="CL51" s="79">
        <v>0</v>
      </c>
      <c r="CM51" s="79">
        <v>0</v>
      </c>
      <c r="CN51" s="86">
        <v>0</v>
      </c>
      <c r="CO51" s="81">
        <v>0</v>
      </c>
      <c r="CP51" s="87"/>
      <c r="CQ51" s="83"/>
      <c r="CR51" s="83"/>
      <c r="CS51" s="82"/>
      <c r="CT51" s="82"/>
      <c r="CU51" s="74" t="str">
        <f t="shared" si="111"/>
        <v xml:space="preserve"> </v>
      </c>
      <c r="CV51" s="79">
        <v>0</v>
      </c>
      <c r="CW51" s="79">
        <v>0</v>
      </c>
      <c r="CX51" s="88">
        <v>0</v>
      </c>
      <c r="CY51" s="81">
        <v>0</v>
      </c>
      <c r="CZ51" s="89"/>
      <c r="DA51" s="67"/>
      <c r="DB51" s="67"/>
      <c r="DC51" s="78"/>
      <c r="DD51" s="78"/>
      <c r="DE51" s="74" t="str">
        <f t="shared" si="112"/>
        <v xml:space="preserve"> </v>
      </c>
      <c r="DF51" s="79">
        <v>0</v>
      </c>
      <c r="DG51" s="79">
        <v>0</v>
      </c>
      <c r="DH51" s="79">
        <v>0</v>
      </c>
      <c r="DI51" s="81">
        <v>0</v>
      </c>
      <c r="DJ51" s="87"/>
      <c r="DK51" s="83"/>
      <c r="DL51" s="83"/>
      <c r="DM51" s="82">
        <v>5</v>
      </c>
      <c r="DN51" s="82">
        <v>2</v>
      </c>
      <c r="DO51" s="74">
        <f t="shared" si="113"/>
        <v>0.4</v>
      </c>
      <c r="DP51" s="79">
        <v>0</v>
      </c>
      <c r="DQ51" s="79">
        <v>0</v>
      </c>
      <c r="DR51" s="79">
        <v>0</v>
      </c>
      <c r="DS51" s="81">
        <v>0</v>
      </c>
      <c r="DT51" s="89"/>
      <c r="DU51" s="67"/>
      <c r="DV51" s="67"/>
      <c r="DW51" s="78">
        <v>18</v>
      </c>
      <c r="DX51" s="78">
        <v>0</v>
      </c>
      <c r="DY51" s="74">
        <f t="shared" si="114"/>
        <v>0</v>
      </c>
      <c r="DZ51" s="90">
        <v>0</v>
      </c>
      <c r="EA51" s="90">
        <v>0</v>
      </c>
      <c r="EB51" s="90">
        <v>0</v>
      </c>
      <c r="EC51" s="91">
        <v>0</v>
      </c>
      <c r="ED51" s="87"/>
      <c r="EE51" s="83"/>
      <c r="EF51" s="83"/>
      <c r="EG51" s="82">
        <v>18</v>
      </c>
      <c r="EH51" s="82">
        <v>10</v>
      </c>
      <c r="EI51" s="74">
        <f t="shared" si="105"/>
        <v>0.55555555555555558</v>
      </c>
      <c r="EJ51" s="92">
        <v>14</v>
      </c>
      <c r="EK51" s="92">
        <v>0</v>
      </c>
      <c r="EL51" s="92">
        <v>14</v>
      </c>
      <c r="EM51" s="93">
        <v>140</v>
      </c>
      <c r="EN51" s="89"/>
      <c r="EO51" s="67"/>
      <c r="EP51" s="67"/>
      <c r="EQ51" s="78">
        <v>10</v>
      </c>
      <c r="ER51" s="78">
        <v>0</v>
      </c>
      <c r="ES51" s="74">
        <f t="shared" si="106"/>
        <v>0</v>
      </c>
      <c r="ET51" s="94">
        <v>0</v>
      </c>
      <c r="EU51" s="94"/>
      <c r="EV51" s="94">
        <v>0</v>
      </c>
      <c r="EW51" s="95">
        <v>0</v>
      </c>
      <c r="EX51" s="87"/>
      <c r="EY51" s="83"/>
      <c r="EZ51" s="83"/>
      <c r="FA51" s="82"/>
      <c r="FB51" s="82"/>
      <c r="FC51" s="74" t="str">
        <f t="shared" si="115"/>
        <v xml:space="preserve"> </v>
      </c>
      <c r="FD51" s="92"/>
      <c r="FE51" s="92"/>
      <c r="FF51" s="92"/>
      <c r="FG51" s="92"/>
      <c r="FH51" s="76">
        <f t="shared" si="116"/>
        <v>0</v>
      </c>
      <c r="FI51" s="89"/>
      <c r="FJ51" s="67"/>
      <c r="FK51" s="67"/>
      <c r="FL51" s="78"/>
      <c r="FM51" s="78"/>
      <c r="FN51" s="74" t="str">
        <f t="shared" si="117"/>
        <v xml:space="preserve"> </v>
      </c>
      <c r="FO51" s="94"/>
      <c r="FP51" s="94"/>
      <c r="FQ51" s="94"/>
      <c r="FR51" s="94"/>
      <c r="FS51" s="76">
        <f t="shared" si="118"/>
        <v>0</v>
      </c>
      <c r="FT51" s="87"/>
      <c r="FU51" s="83"/>
      <c r="FV51" s="83"/>
      <c r="FW51" s="82"/>
      <c r="FX51" s="82"/>
      <c r="FY51" s="74" t="str">
        <f t="shared" si="119"/>
        <v xml:space="preserve"> </v>
      </c>
      <c r="FZ51" s="92"/>
      <c r="GA51" s="92"/>
      <c r="GB51" s="92"/>
      <c r="GC51" s="92"/>
      <c r="GD51" s="76">
        <f t="shared" si="120"/>
        <v>0</v>
      </c>
      <c r="GE51" s="62"/>
      <c r="GF51" s="96">
        <v>15.65</v>
      </c>
      <c r="GG51" s="96" t="s">
        <v>236</v>
      </c>
      <c r="GH51" s="63"/>
      <c r="GI51" s="63" t="s">
        <v>221</v>
      </c>
      <c r="GJ51" s="63" t="s">
        <v>221</v>
      </c>
      <c r="GK51" s="97">
        <f t="shared" si="84"/>
        <v>0</v>
      </c>
      <c r="GL51" s="63" t="s">
        <v>221</v>
      </c>
      <c r="GM51" s="98"/>
      <c r="GN51" s="97">
        <f t="shared" si="121"/>
        <v>0</v>
      </c>
      <c r="GO51" s="97">
        <f t="shared" si="122"/>
        <v>15.65</v>
      </c>
      <c r="GP51" s="62"/>
      <c r="GQ51" s="63" t="s">
        <v>213</v>
      </c>
      <c r="GR51" s="63" t="s">
        <v>213</v>
      </c>
      <c r="GS51" s="63" t="s">
        <v>213</v>
      </c>
      <c r="GT51" s="63" t="s">
        <v>213</v>
      </c>
      <c r="GU51" s="63" t="s">
        <v>213</v>
      </c>
      <c r="GV51" s="63" t="s">
        <v>213</v>
      </c>
      <c r="GW51" s="63" t="s">
        <v>237</v>
      </c>
      <c r="GX51" s="63" t="s">
        <v>238</v>
      </c>
      <c r="GY51" s="65" t="s">
        <v>237</v>
      </c>
      <c r="GZ51" s="65" t="s">
        <v>237</v>
      </c>
      <c r="HA51" s="63" t="s">
        <v>213</v>
      </c>
      <c r="HB51" s="63" t="s">
        <v>213</v>
      </c>
      <c r="HC51" s="63"/>
      <c r="HD51" s="63"/>
      <c r="HE51" s="63"/>
      <c r="HF51" s="63"/>
      <c r="HG51" s="63"/>
      <c r="HH51" s="63">
        <v>1</v>
      </c>
      <c r="HI51" s="63"/>
      <c r="HJ51" s="63"/>
      <c r="HK51" s="63"/>
      <c r="HL51" s="65" t="s">
        <v>239</v>
      </c>
      <c r="HM51" s="65" t="str">
        <f t="shared" si="124"/>
        <v/>
      </c>
      <c r="HN51" s="65" t="s">
        <v>239</v>
      </c>
      <c r="HO51" s="65" t="s">
        <v>239</v>
      </c>
      <c r="HP51" s="99" t="str">
        <f t="shared" si="130"/>
        <v/>
      </c>
      <c r="HQ51" s="65" t="s">
        <v>239</v>
      </c>
      <c r="HR51" s="63"/>
      <c r="HS51" s="63"/>
      <c r="HT51" s="63"/>
      <c r="HU51" s="63" t="s">
        <v>213</v>
      </c>
      <c r="HV51" s="63"/>
      <c r="HW51" s="63"/>
      <c r="HX51" s="63"/>
      <c r="HY51" s="63"/>
      <c r="HZ51" s="63" t="s">
        <v>239</v>
      </c>
      <c r="IA51" s="96" t="s">
        <v>237</v>
      </c>
      <c r="IB51" s="63"/>
      <c r="IC51" s="63"/>
      <c r="ID51" s="63" t="s">
        <v>240</v>
      </c>
      <c r="IE51" s="63" t="s">
        <v>213</v>
      </c>
      <c r="IF51" s="63" t="s">
        <v>213</v>
      </c>
      <c r="IG51" s="63" t="s">
        <v>213</v>
      </c>
      <c r="IH51" s="63" t="s">
        <v>213</v>
      </c>
      <c r="II51" s="63" t="s">
        <v>213</v>
      </c>
      <c r="IJ51" s="63"/>
      <c r="IK51" s="63" t="s">
        <v>213</v>
      </c>
      <c r="IL51" s="63" t="s">
        <v>213</v>
      </c>
      <c r="IM51" s="62"/>
      <c r="IN51" s="101"/>
      <c r="IO51" s="101"/>
      <c r="IP51" s="63"/>
      <c r="IQ51" s="63"/>
      <c r="IR51" s="63"/>
      <c r="IS51" s="63"/>
      <c r="IT51" s="63"/>
      <c r="IU51" s="96"/>
      <c r="IV51" s="63"/>
      <c r="IW51" s="63"/>
      <c r="IX51" s="63"/>
      <c r="IY51" s="63"/>
      <c r="IZ51" s="63"/>
      <c r="JA51" s="65">
        <f t="shared" si="107"/>
        <v>0</v>
      </c>
      <c r="JB51" s="63"/>
      <c r="JC51" s="101"/>
      <c r="JD51" s="101"/>
      <c r="JE51" s="63"/>
      <c r="JF51" s="63"/>
      <c r="JG51" s="63"/>
      <c r="JH51" s="63"/>
      <c r="JI51" s="63"/>
      <c r="JJ51" s="96"/>
      <c r="JK51" s="63"/>
      <c r="JL51" s="63"/>
      <c r="JM51" s="96"/>
      <c r="JN51" s="63"/>
      <c r="JO51" s="63"/>
      <c r="JP51" s="65">
        <f t="shared" si="133"/>
        <v>0</v>
      </c>
      <c r="JQ51" s="63"/>
      <c r="LM51" s="205"/>
      <c r="LN51" s="102">
        <f>IFERROR(ROWS($IL$8:IL51)," ")</f>
        <v>44</v>
      </c>
      <c r="LO51" s="103" t="str">
        <f>IFERROR(IF([1]Checklist!$C$3='GenInfo (2)'!E51,'GenInfo (2)'!LN51," ")," ")</f>
        <v xml:space="preserve"> </v>
      </c>
      <c r="LP51" s="104" t="str">
        <f>IFERROR(SMALL($LO$8:$LO$94,ROWS($IL$8:IL51))," ")</f>
        <v xml:space="preserve"> </v>
      </c>
      <c r="LQ51" s="102">
        <f>IFERROR(ROWS($IL$8:IL51)," ")</f>
        <v>44</v>
      </c>
      <c r="LR51" s="103" t="str">
        <f>IFERROR(IF([1]Checklist!$C$4='GenInfo (2)'!E51,'GenInfo (2)'!LQ51," ")," ")</f>
        <v xml:space="preserve"> </v>
      </c>
      <c r="LS51" s="104" t="str">
        <f>IFERROR(SMALL($LR$8:$LR$94,ROWS($IL$8:IL51))," ")</f>
        <v xml:space="preserve"> </v>
      </c>
      <c r="LT51" s="102">
        <f>IFERROR(ROWS($IL$8:IL51)," ")</f>
        <v>44</v>
      </c>
      <c r="LU51" s="103" t="str">
        <f>IFERROR(IF([1]Checklist!$C$5='GenInfo (2)'!E51,'GenInfo (2)'!LT51," ")," ")</f>
        <v xml:space="preserve"> </v>
      </c>
      <c r="LV51" s="104" t="str">
        <f>IFERROR(SMALL($LU$8:$LU$94,ROWS($IL$8:IL51))," ")</f>
        <v xml:space="preserve"> </v>
      </c>
      <c r="LW51" s="102">
        <f>IFERROR(ROWS($IL$8:IL51)," ")</f>
        <v>44</v>
      </c>
      <c r="LX51" s="103" t="str">
        <f>IFERROR(IF([1]Checklist!$C$6='GenInfo (2)'!E51,'GenInfo (2)'!LW51," ")," ")</f>
        <v xml:space="preserve"> </v>
      </c>
      <c r="LY51" s="104" t="str">
        <f>IFERROR(SMALL($LX$8:$LX$94,ROWS($IL$8:IL51))," ")</f>
        <v xml:space="preserve"> </v>
      </c>
      <c r="LZ51" s="102">
        <f>IFERROR(ROWS($IL$8:IL51)," ")</f>
        <v>44</v>
      </c>
      <c r="MA51" s="103" t="str">
        <f>IFERROR(IF([1]Checklist!$C$7='GenInfo (2)'!E51,'GenInfo (2)'!LZ51," ")," ")</f>
        <v xml:space="preserve"> </v>
      </c>
      <c r="MB51" s="104" t="str">
        <f>IFERROR(SMALL($MA$8:$MA$94,ROWS($IL$8:IL51))," ")</f>
        <v xml:space="preserve"> </v>
      </c>
      <c r="MC51" s="102">
        <f>IFERROR(ROWS($IL$8:IL51)," ")</f>
        <v>44</v>
      </c>
      <c r="MD51" s="103" t="str">
        <f>IFERROR(IF([1]Checklist!$C$8='GenInfo (2)'!E51,'GenInfo (2)'!MC51," ")," ")</f>
        <v xml:space="preserve"> </v>
      </c>
      <c r="ME51" s="104" t="str">
        <f>IFERROR(SMALL($MD$8:$MD$94,ROWS($IL$8:IL51))," ")</f>
        <v xml:space="preserve"> </v>
      </c>
      <c r="MF51" s="102">
        <f>IFERROR(ROWS($IL$8:IL51)," ")</f>
        <v>44</v>
      </c>
      <c r="MG51" s="103" t="str">
        <f>IFERROR(IF([1]Checklist!$C$9='GenInfo (2)'!E51,'GenInfo (2)'!MF51," ")," ")</f>
        <v xml:space="preserve"> </v>
      </c>
      <c r="MH51" s="104" t="str">
        <f>IFERROR(SMALL($MG$8:$MG$94,ROWS($IL$8:IL51))," ")</f>
        <v xml:space="preserve"> </v>
      </c>
      <c r="MI51" s="102">
        <f>IFERROR(ROWS($IL$8:$IL51)," ")</f>
        <v>44</v>
      </c>
      <c r="MJ51" s="103" t="str">
        <f>IFERROR(IF([1]Checklist!$C$10='GenInfo (2)'!E51,'GenInfo (2)'!MI51," ")," ")</f>
        <v xml:space="preserve"> </v>
      </c>
      <c r="MK51" s="104" t="str">
        <f>IFERROR(SMALL($MJ$8:$MJ$94,ROWS($IL$8:IL51))," ")</f>
        <v xml:space="preserve"> </v>
      </c>
      <c r="ML51" s="102">
        <f>IFERROR(ROWS($IL$8:IL51)," ")</f>
        <v>44</v>
      </c>
      <c r="MM51" s="103" t="str">
        <f>IFERROR(IF([1]Checklist!$C$11='GenInfo (2)'!E51,'GenInfo (2)'!ML51," ")," ")</f>
        <v xml:space="preserve"> </v>
      </c>
      <c r="MN51" s="104" t="str">
        <f>IFERROR(SMALL($MM$8:$MM$94,ROWS($IL$8:IL51))," ")</f>
        <v xml:space="preserve"> </v>
      </c>
      <c r="MO51" s="102">
        <f>IFERROR(ROWS($IL$8:IL51)," ")</f>
        <v>44</v>
      </c>
      <c r="MP51" s="103" t="str">
        <f>IFERROR(IF([1]Checklist!$C$12='GenInfo (2)'!E51,'GenInfo (2)'!MO51," ")," ")</f>
        <v xml:space="preserve"> </v>
      </c>
      <c r="MQ51" s="104" t="str">
        <f>IFERROR(SMALL($MP$8:$MP$94,ROWS($IL$8:IL51))," ")</f>
        <v xml:space="preserve"> </v>
      </c>
      <c r="MR51" s="102">
        <f>IFERROR(ROWS($IL$8:IL51)," ")</f>
        <v>44</v>
      </c>
      <c r="MS51" s="103" t="str">
        <f>IFERROR(IF([1]Checklist!$C$13='GenInfo (2)'!E51,'GenInfo (2)'!MR51," ")," ")</f>
        <v xml:space="preserve"> </v>
      </c>
      <c r="MT51" s="104" t="str">
        <f>IFERROR(SMALL($MS$8:$MS$94,ROWS($IL$8:IL51))," ")</f>
        <v xml:space="preserve"> </v>
      </c>
      <c r="MU51" s="102">
        <f>IFERROR(ROWS($IL$8:IL51)," ")</f>
        <v>44</v>
      </c>
      <c r="MV51" s="103" t="str">
        <f>IFERROR(IF([1]Checklist!$C$14='GenInfo (2)'!E51,'GenInfo (2)'!MU51," ")," ")</f>
        <v xml:space="preserve"> </v>
      </c>
      <c r="MW51" s="104" t="str">
        <f>IFERROR(SMALL($MV$8:$MV$94,ROWS($IL$8:IL51))," ")</f>
        <v xml:space="preserve"> </v>
      </c>
      <c r="MX51" s="102">
        <f>IFERROR(ROWS($IL$8:IL51)," ")</f>
        <v>44</v>
      </c>
      <c r="MY51" s="103" t="str">
        <f>IFERROR(IF([1]Checklist!$C$15='GenInfo (2)'!E51,'GenInfo (2)'!MX51," ")," ")</f>
        <v xml:space="preserve"> </v>
      </c>
      <c r="MZ51" s="104" t="str">
        <f>IFERROR(SMALL($MY$8:$MY$94,ROWS($IL$8:IL51))," ")</f>
        <v xml:space="preserve"> </v>
      </c>
      <c r="NA51" s="102">
        <f>IFERROR(ROWS($IL$8:IL51)," ")</f>
        <v>44</v>
      </c>
      <c r="NB51" s="103">
        <f>IFERROR(IF([1]Checklist!$C$16='GenInfo (2)'!E51,'GenInfo (2)'!NA51," ")," ")</f>
        <v>44</v>
      </c>
      <c r="NC51" s="104" t="str">
        <f>IFERROR(SMALL($NB$8:$NB$94,ROWS($IL$8:IL51))," ")</f>
        <v xml:space="preserve"> </v>
      </c>
      <c r="ND51" s="102">
        <f>IFERROR(ROWS($IL$8:IL51)," ")</f>
        <v>44</v>
      </c>
      <c r="NE51" s="103" t="str">
        <f>IFERROR(IF([1]Checklist!$C$17='GenInfo (2)'!E51,'GenInfo (2)'!ND51," ")," ")</f>
        <v xml:space="preserve"> </v>
      </c>
      <c r="NF51" s="104" t="str">
        <f>IFERROR(SMALL($NE$8:$NE$94,ROWS($IL$8:IL51))," ")</f>
        <v xml:space="preserve"> </v>
      </c>
    </row>
    <row r="52" spans="1:370" ht="14.25" x14ac:dyDescent="0.45">
      <c r="A52" s="37" t="s">
        <v>213</v>
      </c>
      <c r="B52" s="37">
        <v>267</v>
      </c>
      <c r="C52" s="146" t="s">
        <v>671</v>
      </c>
      <c r="D52" t="s">
        <v>672</v>
      </c>
      <c r="E52" s="64" t="s">
        <v>643</v>
      </c>
      <c r="F52" s="63" t="s">
        <v>673</v>
      </c>
      <c r="G52" s="64" t="s">
        <v>218</v>
      </c>
      <c r="H52" s="63"/>
      <c r="I52" s="132" t="s">
        <v>674</v>
      </c>
      <c r="J52" s="63" t="s">
        <v>675</v>
      </c>
      <c r="K52" s="62"/>
      <c r="L52" s="67">
        <v>43888</v>
      </c>
      <c r="M52" s="67">
        <v>43889</v>
      </c>
      <c r="N52" s="67" t="s">
        <v>213</v>
      </c>
      <c r="O52" s="68">
        <v>43891</v>
      </c>
      <c r="P52" s="67">
        <v>43893</v>
      </c>
      <c r="Q52" s="67"/>
      <c r="R52" s="63"/>
      <c r="S52" s="67"/>
      <c r="T52" s="63"/>
      <c r="U52" s="62"/>
      <c r="V52" s="67">
        <v>43966</v>
      </c>
      <c r="W52" s="63" t="s">
        <v>222</v>
      </c>
      <c r="X52" s="69"/>
      <c r="Y52" s="63"/>
      <c r="Z52" s="69"/>
      <c r="AA52" s="62"/>
      <c r="AB52" s="63" t="s">
        <v>676</v>
      </c>
      <c r="AC52" s="63" t="s">
        <v>677</v>
      </c>
      <c r="AD52" s="63"/>
      <c r="AE52" s="63" t="s">
        <v>678</v>
      </c>
      <c r="AF52" s="63" t="s">
        <v>679</v>
      </c>
      <c r="AG52" s="63"/>
      <c r="AH52" s="63" t="s">
        <v>251</v>
      </c>
      <c r="AI52" s="63" t="s">
        <v>230</v>
      </c>
      <c r="AJ52" s="63">
        <v>60651</v>
      </c>
      <c r="AK52" s="62"/>
      <c r="AL52" s="71">
        <f t="shared" si="95"/>
        <v>20</v>
      </c>
      <c r="AM52" s="71">
        <f t="shared" ca="1" si="129"/>
        <v>21</v>
      </c>
      <c r="AN52" s="67">
        <v>36654</v>
      </c>
      <c r="AO52" s="72" t="str">
        <f t="shared" ca="1" si="97"/>
        <v/>
      </c>
      <c r="AP52" s="63" t="s">
        <v>231</v>
      </c>
      <c r="AQ52" s="73" t="s">
        <v>232</v>
      </c>
      <c r="AR52" s="70" t="s">
        <v>276</v>
      </c>
      <c r="AS52" s="63">
        <v>4</v>
      </c>
      <c r="AT52" s="63">
        <v>365</v>
      </c>
      <c r="AU52" s="63">
        <v>14</v>
      </c>
      <c r="AV52" s="63">
        <v>4</v>
      </c>
      <c r="AW52" s="63"/>
      <c r="AX52" s="63" t="s">
        <v>236</v>
      </c>
      <c r="AY52" s="63" t="s">
        <v>235</v>
      </c>
      <c r="AZ52" s="63" t="s">
        <v>235</v>
      </c>
      <c r="BA52" s="63" t="s">
        <v>235</v>
      </c>
      <c r="BB52" s="63"/>
      <c r="BC52" s="63"/>
      <c r="BD52" s="62"/>
      <c r="BE52" s="71">
        <f t="shared" si="98"/>
        <v>0</v>
      </c>
      <c r="BF52" s="71">
        <f t="shared" si="98"/>
        <v>0</v>
      </c>
      <c r="BG52" s="71">
        <f t="shared" si="99"/>
        <v>0</v>
      </c>
      <c r="BH52" s="74" t="str">
        <f t="shared" si="100"/>
        <v xml:space="preserve"> </v>
      </c>
      <c r="BI52" s="75" t="str">
        <f t="shared" si="101"/>
        <v xml:space="preserve"> </v>
      </c>
      <c r="BJ52" s="71">
        <f t="shared" si="102"/>
        <v>0</v>
      </c>
      <c r="BK52" s="75" t="str">
        <f t="shared" si="103"/>
        <v xml:space="preserve"> </v>
      </c>
      <c r="BL52" s="76">
        <f t="shared" si="104"/>
        <v>0</v>
      </c>
      <c r="BM52" s="77">
        <f t="shared" si="104"/>
        <v>0</v>
      </c>
      <c r="BN52" s="78"/>
      <c r="BO52" s="67"/>
      <c r="BP52" s="67"/>
      <c r="BQ52" s="63"/>
      <c r="BR52" s="63"/>
      <c r="BS52" s="74" t="str">
        <f t="shared" si="108"/>
        <v xml:space="preserve"> </v>
      </c>
      <c r="BT52" s="79" t="s">
        <v>221</v>
      </c>
      <c r="BU52" s="79" t="s">
        <v>221</v>
      </c>
      <c r="BV52" s="80">
        <v>0</v>
      </c>
      <c r="BW52" s="81">
        <v>0</v>
      </c>
      <c r="BX52" s="82"/>
      <c r="BY52" s="83"/>
      <c r="BZ52" s="83"/>
      <c r="CA52" s="84"/>
      <c r="CB52" s="84"/>
      <c r="CC52" s="74" t="str">
        <f t="shared" si="109"/>
        <v xml:space="preserve"> </v>
      </c>
      <c r="CD52" s="79" t="s">
        <v>221</v>
      </c>
      <c r="CE52" s="81">
        <v>0</v>
      </c>
      <c r="CF52" s="85"/>
      <c r="CG52" s="85"/>
      <c r="CH52" s="85"/>
      <c r="CI52" s="78"/>
      <c r="CJ52" s="78"/>
      <c r="CK52" s="74" t="str">
        <f t="shared" si="110"/>
        <v xml:space="preserve"> </v>
      </c>
      <c r="CL52" s="79" t="s">
        <v>221</v>
      </c>
      <c r="CM52" s="79" t="s">
        <v>221</v>
      </c>
      <c r="CN52" s="86" t="s">
        <v>221</v>
      </c>
      <c r="CO52" s="81">
        <v>0</v>
      </c>
      <c r="CP52" s="87"/>
      <c r="CQ52" s="83"/>
      <c r="CR52" s="83"/>
      <c r="CS52" s="82"/>
      <c r="CT52" s="82"/>
      <c r="CU52" s="74" t="str">
        <f t="shared" si="111"/>
        <v xml:space="preserve"> </v>
      </c>
      <c r="CV52" s="79" t="s">
        <v>221</v>
      </c>
      <c r="CW52" s="79" t="s">
        <v>221</v>
      </c>
      <c r="CX52" s="88" t="s">
        <v>221</v>
      </c>
      <c r="CY52" s="81">
        <v>0</v>
      </c>
      <c r="CZ52" s="89"/>
      <c r="DA52" s="67"/>
      <c r="DB52" s="67"/>
      <c r="DC52" s="78"/>
      <c r="DD52" s="78"/>
      <c r="DE52" s="74" t="str">
        <f t="shared" si="112"/>
        <v xml:space="preserve"> </v>
      </c>
      <c r="DF52" s="79" t="s">
        <v>221</v>
      </c>
      <c r="DG52" s="79" t="s">
        <v>221</v>
      </c>
      <c r="DH52" s="79" t="s">
        <v>221</v>
      </c>
      <c r="DI52" s="81">
        <v>0</v>
      </c>
      <c r="DJ52" s="87"/>
      <c r="DK52" s="83"/>
      <c r="DL52" s="83"/>
      <c r="DM52" s="82"/>
      <c r="DN52" s="82"/>
      <c r="DO52" s="74" t="str">
        <f t="shared" si="113"/>
        <v xml:space="preserve"> </v>
      </c>
      <c r="DP52" s="79" t="s">
        <v>221</v>
      </c>
      <c r="DQ52" s="79" t="s">
        <v>221</v>
      </c>
      <c r="DR52" s="79" t="s">
        <v>221</v>
      </c>
      <c r="DS52" s="81">
        <v>0</v>
      </c>
      <c r="DT52" s="89"/>
      <c r="DU52" s="67"/>
      <c r="DV52" s="67"/>
      <c r="DW52" s="78"/>
      <c r="DX52" s="78"/>
      <c r="DY52" s="74" t="str">
        <f t="shared" si="114"/>
        <v xml:space="preserve"> </v>
      </c>
      <c r="DZ52" s="90">
        <v>0</v>
      </c>
      <c r="EA52" s="90">
        <v>0</v>
      </c>
      <c r="EB52" s="90">
        <v>0</v>
      </c>
      <c r="EC52" s="91">
        <v>0</v>
      </c>
      <c r="ED52" s="87"/>
      <c r="EE52" s="83"/>
      <c r="EF52" s="83"/>
      <c r="EG52" s="82"/>
      <c r="EH52" s="82"/>
      <c r="EI52" s="74" t="str">
        <f t="shared" si="105"/>
        <v xml:space="preserve"> </v>
      </c>
      <c r="EJ52" s="92">
        <v>0</v>
      </c>
      <c r="EK52" s="92">
        <v>0</v>
      </c>
      <c r="EL52" s="92">
        <v>0</v>
      </c>
      <c r="EM52" s="93">
        <v>0</v>
      </c>
      <c r="EN52" s="89"/>
      <c r="EO52" s="67"/>
      <c r="EP52" s="67"/>
      <c r="EQ52" s="78"/>
      <c r="ER52" s="78"/>
      <c r="ES52" s="74" t="str">
        <f t="shared" si="106"/>
        <v xml:space="preserve"> </v>
      </c>
      <c r="ET52" s="94">
        <v>0</v>
      </c>
      <c r="EU52" s="94"/>
      <c r="EV52" s="94">
        <v>0</v>
      </c>
      <c r="EW52" s="95">
        <v>0</v>
      </c>
      <c r="EX52" s="87"/>
      <c r="EY52" s="83"/>
      <c r="EZ52" s="83"/>
      <c r="FA52" s="82"/>
      <c r="FB52" s="82"/>
      <c r="FC52" s="74" t="str">
        <f t="shared" si="115"/>
        <v xml:space="preserve"> </v>
      </c>
      <c r="FD52" s="92"/>
      <c r="FE52" s="92"/>
      <c r="FF52" s="92"/>
      <c r="FG52" s="92"/>
      <c r="FH52" s="76">
        <f t="shared" si="116"/>
        <v>0</v>
      </c>
      <c r="FI52" s="89"/>
      <c r="FJ52" s="67"/>
      <c r="FK52" s="67"/>
      <c r="FL52" s="78"/>
      <c r="FM52" s="78"/>
      <c r="FN52" s="74" t="str">
        <f t="shared" si="117"/>
        <v xml:space="preserve"> </v>
      </c>
      <c r="FO52" s="94"/>
      <c r="FP52" s="94"/>
      <c r="FQ52" s="94"/>
      <c r="FR52" s="94"/>
      <c r="FS52" s="76">
        <f t="shared" si="118"/>
        <v>0</v>
      </c>
      <c r="FT52" s="87"/>
      <c r="FU52" s="83"/>
      <c r="FV52" s="83"/>
      <c r="FW52" s="82"/>
      <c r="FX52" s="82"/>
      <c r="FY52" s="74" t="str">
        <f t="shared" si="119"/>
        <v xml:space="preserve"> </v>
      </c>
      <c r="FZ52" s="92"/>
      <c r="GA52" s="92"/>
      <c r="GB52" s="92"/>
      <c r="GC52" s="92"/>
      <c r="GD52" s="76">
        <f t="shared" si="120"/>
        <v>0</v>
      </c>
      <c r="GE52" s="62"/>
      <c r="GF52" s="96" t="s">
        <v>221</v>
      </c>
      <c r="GG52" s="96" t="s">
        <v>221</v>
      </c>
      <c r="GH52" s="63"/>
      <c r="GI52" s="63" t="s">
        <v>221</v>
      </c>
      <c r="GJ52" s="63" t="s">
        <v>221</v>
      </c>
      <c r="GK52" s="97">
        <f t="shared" si="84"/>
        <v>0</v>
      </c>
      <c r="GL52" s="63" t="s">
        <v>221</v>
      </c>
      <c r="GM52" s="98"/>
      <c r="GN52" s="97">
        <f t="shared" si="121"/>
        <v>0</v>
      </c>
      <c r="GO52" s="97" t="str">
        <f t="shared" si="122"/>
        <v xml:space="preserve"> </v>
      </c>
      <c r="GP52" s="62"/>
      <c r="GQ52" s="63" t="s">
        <v>213</v>
      </c>
      <c r="GR52" s="63"/>
      <c r="GS52" s="63"/>
      <c r="GT52" s="63"/>
      <c r="GU52" s="63"/>
      <c r="GV52" s="63"/>
      <c r="GW52" s="63"/>
      <c r="GX52" s="63"/>
      <c r="GY52" s="65" t="str">
        <f t="shared" ref="GY52:GY53" si="134">IFERROR(IF(IN52&gt;0,"X",""),"")</f>
        <v/>
      </c>
      <c r="GZ52" s="65" t="str">
        <f>IFERROR(IF(JC52&gt;0,"X",""),"")</f>
        <v/>
      </c>
      <c r="HA52" s="63"/>
      <c r="HB52" s="63"/>
      <c r="HC52" s="63"/>
      <c r="HD52" s="63"/>
      <c r="HE52" s="63"/>
      <c r="HF52" s="63"/>
      <c r="HG52" s="63"/>
      <c r="HH52" s="63">
        <v>1</v>
      </c>
      <c r="HI52" s="63"/>
      <c r="HJ52" s="63"/>
      <c r="HK52" s="63"/>
      <c r="HL52" s="65" t="str">
        <f>IFERROR(IF(OR(IQ52&gt;0,IR52&gt;0,IS52&gt;0),"x",""),"")</f>
        <v/>
      </c>
      <c r="HM52" s="65" t="str">
        <f t="shared" si="124"/>
        <v/>
      </c>
      <c r="HN52" s="65" t="str">
        <f>IFERROR(IF(OR(IW52&gt;0,IX52&gt;0,IY52&gt;0,IZ52&gt;0),"x",""),"")</f>
        <v/>
      </c>
      <c r="HO52" s="65" t="str">
        <f>IFERROR(IF(OR(JE52&gt;0,JF52&gt;0,JG52&gt;0,JH52&gt;0),"x",""),"")</f>
        <v/>
      </c>
      <c r="HP52" s="99" t="str">
        <f t="shared" si="130"/>
        <v/>
      </c>
      <c r="HQ52" s="99" t="str">
        <f>IFERROR(IF(OR(JL52&gt;0,JM52&gt;0,JN52&gt;0,JO52&gt;0),"x",""),"")</f>
        <v/>
      </c>
      <c r="HR52" s="63"/>
      <c r="HS52" s="63"/>
      <c r="HT52" s="63"/>
      <c r="HU52" s="63"/>
      <c r="HV52" s="63"/>
      <c r="HW52" s="63"/>
      <c r="HX52" s="63"/>
      <c r="HY52" s="63"/>
      <c r="HZ52" s="63"/>
      <c r="IA52" s="63"/>
      <c r="IB52" s="63"/>
      <c r="IC52" s="63"/>
      <c r="ID52" s="63"/>
      <c r="IE52" s="100"/>
      <c r="IF52" s="100"/>
      <c r="IG52" s="100"/>
      <c r="IH52" s="100"/>
      <c r="II52" s="100"/>
      <c r="IJ52" s="100"/>
      <c r="IK52" s="100"/>
      <c r="IL52" s="63"/>
      <c r="IM52" s="62"/>
      <c r="IN52" s="101"/>
      <c r="IO52" s="101"/>
      <c r="IP52" s="63"/>
      <c r="IQ52" s="63"/>
      <c r="IR52" s="63"/>
      <c r="IS52" s="63"/>
      <c r="IT52" s="63"/>
      <c r="IU52" s="63"/>
      <c r="IV52" s="63"/>
      <c r="IW52" s="63"/>
      <c r="IX52" s="63"/>
      <c r="IY52" s="63"/>
      <c r="IZ52" s="63"/>
      <c r="JA52" s="65">
        <f t="shared" si="107"/>
        <v>0</v>
      </c>
      <c r="JB52" s="63"/>
      <c r="JC52" s="101"/>
      <c r="JD52" s="101"/>
      <c r="JE52" s="63"/>
      <c r="JF52" s="63"/>
      <c r="JG52" s="63"/>
      <c r="JH52" s="63"/>
      <c r="JI52" s="63"/>
      <c r="JJ52" s="63"/>
      <c r="JK52" s="63"/>
      <c r="JL52" s="63"/>
      <c r="JM52" s="63"/>
      <c r="JN52" s="63"/>
      <c r="JO52" s="96"/>
      <c r="JP52" s="65">
        <f t="shared" si="133"/>
        <v>0</v>
      </c>
      <c r="JQ52" s="63"/>
      <c r="LM52" s="205"/>
      <c r="LN52" s="102">
        <f>IFERROR(ROWS($IL$8:IL52)," ")</f>
        <v>45</v>
      </c>
      <c r="LO52" s="103" t="str">
        <f>IFERROR(IF([1]Checklist!$C$3='GenInfo (2)'!E52,'GenInfo (2)'!LN52," ")," ")</f>
        <v xml:space="preserve"> </v>
      </c>
      <c r="LP52" s="104" t="str">
        <f>IFERROR(SMALL($LO$8:$LO$94,ROWS($IL$8:IL52))," ")</f>
        <v xml:space="preserve"> </v>
      </c>
      <c r="LQ52" s="102">
        <f>IFERROR(ROWS($IL$8:IL52)," ")</f>
        <v>45</v>
      </c>
      <c r="LR52" s="103" t="str">
        <f>IFERROR(IF([1]Checklist!$C$4='GenInfo (2)'!E52,'GenInfo (2)'!LQ52," ")," ")</f>
        <v xml:space="preserve"> </v>
      </c>
      <c r="LS52" s="104" t="str">
        <f>IFERROR(SMALL($LR$8:$LR$94,ROWS($IL$8:IL52))," ")</f>
        <v xml:space="preserve"> </v>
      </c>
      <c r="LT52" s="102">
        <f>IFERROR(ROWS($IL$8:IL52)," ")</f>
        <v>45</v>
      </c>
      <c r="LU52" s="103" t="str">
        <f>IFERROR(IF([1]Checklist!$C$5='GenInfo (2)'!E52,'GenInfo (2)'!LT52," ")," ")</f>
        <v xml:space="preserve"> </v>
      </c>
      <c r="LV52" s="104" t="str">
        <f>IFERROR(SMALL($LU$8:$LU$94,ROWS($IL$8:IL52))," ")</f>
        <v xml:space="preserve"> </v>
      </c>
      <c r="LW52" s="102">
        <f>IFERROR(ROWS($IL$8:IL52)," ")</f>
        <v>45</v>
      </c>
      <c r="LX52" s="103" t="str">
        <f>IFERROR(IF([1]Checklist!$C$6='GenInfo (2)'!E52,'GenInfo (2)'!LW52," ")," ")</f>
        <v xml:space="preserve"> </v>
      </c>
      <c r="LY52" s="104" t="str">
        <f>IFERROR(SMALL($LX$8:$LX$94,ROWS($IL$8:IL52))," ")</f>
        <v xml:space="preserve"> </v>
      </c>
      <c r="LZ52" s="102">
        <f>IFERROR(ROWS($IL$8:IL52)," ")</f>
        <v>45</v>
      </c>
      <c r="MA52" s="103" t="str">
        <f>IFERROR(IF([1]Checklist!$C$7='GenInfo (2)'!E52,'GenInfo (2)'!LZ52," ")," ")</f>
        <v xml:space="preserve"> </v>
      </c>
      <c r="MB52" s="104" t="str">
        <f>IFERROR(SMALL($MA$8:$MA$94,ROWS($IL$8:IL52))," ")</f>
        <v xml:space="preserve"> </v>
      </c>
      <c r="MC52" s="102">
        <f>IFERROR(ROWS($IL$8:IL52)," ")</f>
        <v>45</v>
      </c>
      <c r="MD52" s="103" t="str">
        <f>IFERROR(IF([1]Checklist!$C$8='GenInfo (2)'!E52,'GenInfo (2)'!MC52," ")," ")</f>
        <v xml:space="preserve"> </v>
      </c>
      <c r="ME52" s="104" t="str">
        <f>IFERROR(SMALL($MD$8:$MD$94,ROWS($IL$8:IL52))," ")</f>
        <v xml:space="preserve"> </v>
      </c>
      <c r="MF52" s="102">
        <f>IFERROR(ROWS($IL$8:IL52)," ")</f>
        <v>45</v>
      </c>
      <c r="MG52" s="103" t="str">
        <f>IFERROR(IF([1]Checklist!$C$9='GenInfo (2)'!E52,'GenInfo (2)'!MF52," ")," ")</f>
        <v xml:space="preserve"> </v>
      </c>
      <c r="MH52" s="104" t="str">
        <f>IFERROR(SMALL($MG$8:$MG$94,ROWS($IL$8:IL52))," ")</f>
        <v xml:space="preserve"> </v>
      </c>
      <c r="MI52" s="102">
        <f>IFERROR(ROWS($IL$8:$IL52)," ")</f>
        <v>45</v>
      </c>
      <c r="MJ52" s="103" t="str">
        <f>IFERROR(IF([1]Checklist!$C$10='GenInfo (2)'!E52,'GenInfo (2)'!MI52," ")," ")</f>
        <v xml:space="preserve"> </v>
      </c>
      <c r="MK52" s="104" t="str">
        <f>IFERROR(SMALL($MJ$8:$MJ$94,ROWS($IL$8:IL52))," ")</f>
        <v xml:space="preserve"> </v>
      </c>
      <c r="ML52" s="102">
        <f>IFERROR(ROWS($IL$8:IL52)," ")</f>
        <v>45</v>
      </c>
      <c r="MM52" s="103" t="str">
        <f>IFERROR(IF([1]Checklist!$C$11='GenInfo (2)'!E52,'GenInfo (2)'!ML52," ")," ")</f>
        <v xml:space="preserve"> </v>
      </c>
      <c r="MN52" s="104" t="str">
        <f>IFERROR(SMALL($MM$8:$MM$94,ROWS($IL$8:IL52))," ")</f>
        <v xml:space="preserve"> </v>
      </c>
      <c r="MO52" s="102">
        <f>IFERROR(ROWS($IL$8:IL52)," ")</f>
        <v>45</v>
      </c>
      <c r="MP52" s="103" t="str">
        <f>IFERROR(IF([1]Checklist!$C$12='GenInfo (2)'!E52,'GenInfo (2)'!MO52," ")," ")</f>
        <v xml:space="preserve"> </v>
      </c>
      <c r="MQ52" s="104" t="str">
        <f>IFERROR(SMALL($MP$8:$MP$94,ROWS($IL$8:IL52))," ")</f>
        <v xml:space="preserve"> </v>
      </c>
      <c r="MR52" s="102">
        <f>IFERROR(ROWS($IL$8:IL52)," ")</f>
        <v>45</v>
      </c>
      <c r="MS52" s="103" t="str">
        <f>IFERROR(IF([1]Checklist!$C$13='GenInfo (2)'!E52,'GenInfo (2)'!MR52," ")," ")</f>
        <v xml:space="preserve"> </v>
      </c>
      <c r="MT52" s="104" t="str">
        <f>IFERROR(SMALL($MS$8:$MS$94,ROWS($IL$8:IL52))," ")</f>
        <v xml:space="preserve"> </v>
      </c>
      <c r="MU52" s="102">
        <f>IFERROR(ROWS($IL$8:IL52)," ")</f>
        <v>45</v>
      </c>
      <c r="MV52" s="103" t="str">
        <f>IFERROR(IF([1]Checklist!$C$14='GenInfo (2)'!E52,'GenInfo (2)'!MU52," ")," ")</f>
        <v xml:space="preserve"> </v>
      </c>
      <c r="MW52" s="104" t="str">
        <f>IFERROR(SMALL($MV$8:$MV$94,ROWS($IL$8:IL52))," ")</f>
        <v xml:space="preserve"> </v>
      </c>
      <c r="MX52" s="102">
        <f>IFERROR(ROWS($IL$8:IL52)," ")</f>
        <v>45</v>
      </c>
      <c r="MY52" s="103" t="str">
        <f>IFERROR(IF([1]Checklist!$C$15='GenInfo (2)'!E52,'GenInfo (2)'!MX52," ")," ")</f>
        <v xml:space="preserve"> </v>
      </c>
      <c r="MZ52" s="104" t="str">
        <f>IFERROR(SMALL($MY$8:$MY$94,ROWS($IL$8:IL52))," ")</f>
        <v xml:space="preserve"> </v>
      </c>
      <c r="NA52" s="102">
        <f>IFERROR(ROWS($IL$8:IL52)," ")</f>
        <v>45</v>
      </c>
      <c r="NB52" s="103">
        <f>IFERROR(IF([1]Checklist!$C$16='GenInfo (2)'!E52,'GenInfo (2)'!NA52," ")," ")</f>
        <v>45</v>
      </c>
      <c r="NC52" s="104" t="str">
        <f>IFERROR(SMALL($NB$8:$NB$94,ROWS($IL$8:IL52))," ")</f>
        <v xml:space="preserve"> </v>
      </c>
      <c r="ND52" s="102">
        <f>IFERROR(ROWS($IL$8:IL52)," ")</f>
        <v>45</v>
      </c>
      <c r="NE52" s="103" t="str">
        <f>IFERROR(IF([1]Checklist!$C$17='GenInfo (2)'!E52,'GenInfo (2)'!ND52," ")," ")</f>
        <v xml:space="preserve"> </v>
      </c>
      <c r="NF52" s="104" t="str">
        <f>IFERROR(SMALL($NE$8:$NE$94,ROWS($IL$8:IL52))," ")</f>
        <v xml:space="preserve"> </v>
      </c>
    </row>
    <row r="53" spans="1:370" ht="28.5" x14ac:dyDescent="0.45">
      <c r="A53" s="37" t="s">
        <v>213</v>
      </c>
      <c r="B53" s="37">
        <v>272</v>
      </c>
      <c r="C53" s="146" t="s">
        <v>680</v>
      </c>
      <c r="D53" t="s">
        <v>681</v>
      </c>
      <c r="E53" s="106" t="s">
        <v>682</v>
      </c>
      <c r="F53" s="96" t="s">
        <v>683</v>
      </c>
      <c r="G53" s="107" t="s">
        <v>218</v>
      </c>
      <c r="H53" s="96"/>
      <c r="I53" s="157" t="s">
        <v>684</v>
      </c>
      <c r="J53" s="105" t="s">
        <v>685</v>
      </c>
      <c r="K53" s="158"/>
      <c r="L53" s="108" t="s">
        <v>221</v>
      </c>
      <c r="M53" s="108" t="s">
        <v>221</v>
      </c>
      <c r="N53" s="108"/>
      <c r="O53" s="109" t="s">
        <v>221</v>
      </c>
      <c r="P53" s="108"/>
      <c r="Q53" s="108"/>
      <c r="R53" s="96"/>
      <c r="S53" s="108"/>
      <c r="T53" s="96"/>
      <c r="U53" s="158"/>
      <c r="V53" s="108">
        <v>43543</v>
      </c>
      <c r="W53" s="63" t="s">
        <v>222</v>
      </c>
      <c r="X53" s="110"/>
      <c r="Y53" s="108"/>
      <c r="Z53" s="110"/>
      <c r="AA53" s="111"/>
      <c r="AB53" s="96" t="s">
        <v>686</v>
      </c>
      <c r="AC53" s="96" t="s">
        <v>687</v>
      </c>
      <c r="AD53" s="96" t="s">
        <v>688</v>
      </c>
      <c r="AE53" s="96" t="s">
        <v>689</v>
      </c>
      <c r="AF53" s="96" t="s">
        <v>690</v>
      </c>
      <c r="AG53" s="96" t="s">
        <v>691</v>
      </c>
      <c r="AH53" s="96" t="s">
        <v>251</v>
      </c>
      <c r="AI53" s="96" t="s">
        <v>230</v>
      </c>
      <c r="AJ53" s="96">
        <v>60608</v>
      </c>
      <c r="AK53" s="111"/>
      <c r="AL53" s="71">
        <f t="shared" si="95"/>
        <v>17</v>
      </c>
      <c r="AM53" s="71">
        <f t="shared" ca="1" si="129"/>
        <v>19</v>
      </c>
      <c r="AN53" s="108">
        <v>37318</v>
      </c>
      <c r="AO53" s="72">
        <f t="shared" ca="1" si="97"/>
        <v>13</v>
      </c>
      <c r="AP53" s="113" t="s">
        <v>231</v>
      </c>
      <c r="AQ53" s="113" t="s">
        <v>264</v>
      </c>
      <c r="AR53" s="107" t="s">
        <v>233</v>
      </c>
      <c r="AS53" s="96">
        <v>1</v>
      </c>
      <c r="AT53" s="96"/>
      <c r="AU53" s="96"/>
      <c r="AV53" s="96"/>
      <c r="AW53" s="96"/>
      <c r="AX53" s="96" t="s">
        <v>351</v>
      </c>
      <c r="AY53" s="96" t="s">
        <v>235</v>
      </c>
      <c r="AZ53" s="96" t="s">
        <v>235</v>
      </c>
      <c r="BA53" s="96" t="s">
        <v>235</v>
      </c>
      <c r="BB53" s="96"/>
      <c r="BC53" s="115"/>
      <c r="BD53" s="62"/>
      <c r="BE53" s="71">
        <f t="shared" ref="BE53:BF65" si="135">IFERROR(COUNTIF(CI53,"&gt;0")+COUNTIF(CS53,"&gt;0")+COUNTIF(DC53,"&gt;0")+COUNTIF(DM53,"&gt;0")+COUNTIF(DW53,"&gt;0")+COUNTIF(EG53,"&gt;0")," ")</f>
        <v>3</v>
      </c>
      <c r="BF53" s="71">
        <f t="shared" si="135"/>
        <v>1</v>
      </c>
      <c r="BG53" s="71">
        <f t="shared" si="99"/>
        <v>3</v>
      </c>
      <c r="BH53" s="74">
        <f t="shared" si="100"/>
        <v>1.4492753623188406E-2</v>
      </c>
      <c r="BI53" s="75">
        <f t="shared" si="101"/>
        <v>1</v>
      </c>
      <c r="BJ53" s="71">
        <f t="shared" si="102"/>
        <v>1</v>
      </c>
      <c r="BK53" s="75">
        <f t="shared" si="103"/>
        <v>0.33333333333333331</v>
      </c>
      <c r="BL53" s="76">
        <f t="shared" ref="BL53:BM65" si="136">IFERROR(SUM(BV53,CD53,CN53,CW53,DH53,DR53,EB53,EL53),"")</f>
        <v>16</v>
      </c>
      <c r="BM53" s="77">
        <f t="shared" si="136"/>
        <v>197</v>
      </c>
      <c r="BN53" s="114"/>
      <c r="BO53" s="108"/>
      <c r="BP53" s="108"/>
      <c r="BQ53" s="115"/>
      <c r="BR53" s="115">
        <v>2</v>
      </c>
      <c r="BS53" s="74" t="str">
        <f t="shared" si="108"/>
        <v xml:space="preserve"> </v>
      </c>
      <c r="BT53" s="79">
        <v>15</v>
      </c>
      <c r="BU53" s="79">
        <v>0</v>
      </c>
      <c r="BV53" s="80">
        <v>15</v>
      </c>
      <c r="BW53" s="81">
        <v>195</v>
      </c>
      <c r="BX53" s="116"/>
      <c r="BY53" s="121"/>
      <c r="BZ53" s="121"/>
      <c r="CA53" s="128"/>
      <c r="CB53" s="128"/>
      <c r="CC53" s="74" t="str">
        <f t="shared" si="109"/>
        <v xml:space="preserve"> </v>
      </c>
      <c r="CD53" s="79">
        <v>0</v>
      </c>
      <c r="CE53" s="81">
        <v>0</v>
      </c>
      <c r="CF53" s="119"/>
      <c r="CG53" s="119"/>
      <c r="CH53" s="119"/>
      <c r="CI53" s="114">
        <v>20</v>
      </c>
      <c r="CJ53" s="114">
        <v>0</v>
      </c>
      <c r="CK53" s="74">
        <f t="shared" si="110"/>
        <v>0</v>
      </c>
      <c r="CL53" s="79">
        <v>0</v>
      </c>
      <c r="CM53" s="79">
        <v>0</v>
      </c>
      <c r="CN53" s="86">
        <v>0</v>
      </c>
      <c r="CO53" s="81">
        <v>0</v>
      </c>
      <c r="CP53" s="120"/>
      <c r="CQ53" s="121"/>
      <c r="CR53" s="121"/>
      <c r="CS53" s="116">
        <v>23</v>
      </c>
      <c r="CT53" s="116">
        <v>1</v>
      </c>
      <c r="CU53" s="74">
        <f t="shared" si="111"/>
        <v>4.3478260869565216E-2</v>
      </c>
      <c r="CV53" s="79">
        <v>1</v>
      </c>
      <c r="CW53" s="79">
        <v>1</v>
      </c>
      <c r="CX53" s="88">
        <v>2</v>
      </c>
      <c r="CY53" s="81">
        <v>12</v>
      </c>
      <c r="CZ53" s="122"/>
      <c r="DA53" s="108"/>
      <c r="DB53" s="108"/>
      <c r="DC53" s="114">
        <v>16</v>
      </c>
      <c r="DD53" s="114">
        <v>0</v>
      </c>
      <c r="DE53" s="74">
        <f t="shared" si="112"/>
        <v>0</v>
      </c>
      <c r="DF53" s="79">
        <v>0</v>
      </c>
      <c r="DG53" s="79">
        <v>0</v>
      </c>
      <c r="DH53" s="79">
        <v>0</v>
      </c>
      <c r="DI53" s="81">
        <v>0</v>
      </c>
      <c r="DJ53" s="120"/>
      <c r="DK53" s="121"/>
      <c r="DL53" s="121"/>
      <c r="DM53" s="116"/>
      <c r="DN53" s="116"/>
      <c r="DO53" s="74" t="str">
        <f t="shared" si="113"/>
        <v xml:space="preserve"> </v>
      </c>
      <c r="DP53" s="79">
        <v>0</v>
      </c>
      <c r="DQ53" s="79">
        <v>0</v>
      </c>
      <c r="DR53" s="79">
        <v>0</v>
      </c>
      <c r="DS53" s="81">
        <v>0</v>
      </c>
      <c r="DT53" s="122"/>
      <c r="DU53" s="108"/>
      <c r="DV53" s="108"/>
      <c r="DW53" s="114"/>
      <c r="DX53" s="114"/>
      <c r="DY53" s="74" t="str">
        <f t="shared" si="114"/>
        <v xml:space="preserve"> </v>
      </c>
      <c r="DZ53" s="90">
        <v>0</v>
      </c>
      <c r="EA53" s="90">
        <v>0</v>
      </c>
      <c r="EB53" s="90">
        <v>0</v>
      </c>
      <c r="EC53" s="91">
        <v>0</v>
      </c>
      <c r="ED53" s="120"/>
      <c r="EE53" s="121"/>
      <c r="EF53" s="121"/>
      <c r="EG53" s="116"/>
      <c r="EH53" s="116"/>
      <c r="EI53" s="74" t="str">
        <f t="shared" si="105"/>
        <v xml:space="preserve"> </v>
      </c>
      <c r="EJ53" s="92">
        <v>0</v>
      </c>
      <c r="EK53" s="92">
        <v>0</v>
      </c>
      <c r="EL53" s="92">
        <v>0</v>
      </c>
      <c r="EM53" s="93">
        <v>0</v>
      </c>
      <c r="EN53" s="122"/>
      <c r="EO53" s="108"/>
      <c r="EP53" s="108"/>
      <c r="EQ53" s="114"/>
      <c r="ER53" s="114"/>
      <c r="ES53" s="74" t="str">
        <f t="shared" si="106"/>
        <v xml:space="preserve"> </v>
      </c>
      <c r="ET53" s="94">
        <v>0</v>
      </c>
      <c r="EU53" s="90"/>
      <c r="EV53" s="94">
        <v>0</v>
      </c>
      <c r="EW53" s="95">
        <v>0</v>
      </c>
      <c r="EX53" s="120"/>
      <c r="EY53" s="121"/>
      <c r="EZ53" s="121"/>
      <c r="FA53" s="116"/>
      <c r="FB53" s="116"/>
      <c r="FC53" s="74" t="str">
        <f t="shared" si="115"/>
        <v xml:space="preserve"> </v>
      </c>
      <c r="FD53" s="123"/>
      <c r="FE53" s="123"/>
      <c r="FF53" s="123"/>
      <c r="FG53" s="123"/>
      <c r="FH53" s="76">
        <f t="shared" si="116"/>
        <v>0</v>
      </c>
      <c r="FI53" s="122"/>
      <c r="FJ53" s="108"/>
      <c r="FK53" s="108"/>
      <c r="FL53" s="114"/>
      <c r="FM53" s="114"/>
      <c r="FN53" s="74" t="str">
        <f t="shared" si="117"/>
        <v xml:space="preserve"> </v>
      </c>
      <c r="FO53" s="90"/>
      <c r="FP53" s="90"/>
      <c r="FQ53" s="90"/>
      <c r="FR53" s="90"/>
      <c r="FS53" s="76">
        <f t="shared" si="118"/>
        <v>0</v>
      </c>
      <c r="FT53" s="120"/>
      <c r="FU53" s="121"/>
      <c r="FV53" s="121"/>
      <c r="FW53" s="116"/>
      <c r="FX53" s="116"/>
      <c r="FY53" s="74" t="str">
        <f t="shared" si="119"/>
        <v xml:space="preserve"> </v>
      </c>
      <c r="FZ53" s="123"/>
      <c r="GA53" s="123"/>
      <c r="GB53" s="123"/>
      <c r="GC53" s="123"/>
      <c r="GD53" s="76">
        <f t="shared" si="120"/>
        <v>0</v>
      </c>
      <c r="GE53" s="111"/>
      <c r="GF53" s="96">
        <v>0</v>
      </c>
      <c r="GG53" s="96" t="s">
        <v>335</v>
      </c>
      <c r="GH53" s="79"/>
      <c r="GI53" s="63"/>
      <c r="GJ53" s="63"/>
      <c r="GK53" s="97">
        <f t="shared" si="84"/>
        <v>0</v>
      </c>
      <c r="GL53" s="63">
        <v>0</v>
      </c>
      <c r="GM53" s="79"/>
      <c r="GN53" s="97">
        <f t="shared" si="121"/>
        <v>0</v>
      </c>
      <c r="GO53" s="97">
        <f t="shared" si="122"/>
        <v>0</v>
      </c>
      <c r="GP53" s="130"/>
      <c r="GQ53" s="96" t="s">
        <v>213</v>
      </c>
      <c r="GR53" s="96" t="s">
        <v>213</v>
      </c>
      <c r="GS53" s="96" t="s">
        <v>213</v>
      </c>
      <c r="GT53" s="96" t="s">
        <v>213</v>
      </c>
      <c r="GU53" s="96" t="s">
        <v>213</v>
      </c>
      <c r="GV53" s="96" t="s">
        <v>237</v>
      </c>
      <c r="GW53" s="96" t="s">
        <v>237</v>
      </c>
      <c r="GX53" s="96" t="s">
        <v>238</v>
      </c>
      <c r="GY53" s="65" t="str">
        <f t="shared" si="134"/>
        <v>X</v>
      </c>
      <c r="GZ53" s="65" t="str">
        <f>IFERROR(IF(JC53&gt;0,"X",""),"")</f>
        <v>X</v>
      </c>
      <c r="HA53" s="100" t="s">
        <v>237</v>
      </c>
      <c r="HB53" s="100" t="s">
        <v>213</v>
      </c>
      <c r="HC53" s="100">
        <v>0</v>
      </c>
      <c r="HD53" s="100">
        <v>0</v>
      </c>
      <c r="HE53" s="100">
        <v>0</v>
      </c>
      <c r="HF53" s="100">
        <v>0</v>
      </c>
      <c r="HG53" s="159" t="s">
        <v>213</v>
      </c>
      <c r="HH53" s="100">
        <v>0</v>
      </c>
      <c r="HI53" s="100">
        <v>0</v>
      </c>
      <c r="HJ53" s="100">
        <v>0</v>
      </c>
      <c r="HK53" s="100">
        <v>0</v>
      </c>
      <c r="HL53" s="65" t="s">
        <v>237</v>
      </c>
      <c r="HM53" s="65" t="str">
        <f t="shared" si="124"/>
        <v/>
      </c>
      <c r="HN53" s="65" t="s">
        <v>239</v>
      </c>
      <c r="HO53" s="65" t="s">
        <v>237</v>
      </c>
      <c r="HP53" s="65" t="str">
        <f t="shared" si="130"/>
        <v/>
      </c>
      <c r="HQ53" s="65" t="s">
        <v>239</v>
      </c>
      <c r="HR53" s="124"/>
      <c r="HS53" s="124"/>
      <c r="HT53" s="124"/>
      <c r="HU53" s="124" t="s">
        <v>237</v>
      </c>
      <c r="HV53" s="124"/>
      <c r="HW53" s="124"/>
      <c r="HX53" s="124"/>
      <c r="HY53" s="124"/>
      <c r="HZ53" s="124"/>
      <c r="IA53" s="96" t="s">
        <v>237</v>
      </c>
      <c r="IB53" s="124"/>
      <c r="IC53" s="96" t="s">
        <v>237</v>
      </c>
      <c r="ID53" s="96" t="s">
        <v>240</v>
      </c>
      <c r="IE53" s="100" t="s">
        <v>213</v>
      </c>
      <c r="IF53" s="100" t="s">
        <v>213</v>
      </c>
      <c r="IG53" s="100" t="s">
        <v>213</v>
      </c>
      <c r="IH53" s="100" t="s">
        <v>213</v>
      </c>
      <c r="II53" s="100" t="s">
        <v>213</v>
      </c>
      <c r="IJ53" s="100" t="s">
        <v>213</v>
      </c>
      <c r="IK53" s="100" t="s">
        <v>213</v>
      </c>
      <c r="IL53" s="100"/>
      <c r="IM53" s="111"/>
      <c r="IN53" s="125">
        <v>5.9</v>
      </c>
      <c r="IO53" s="125"/>
      <c r="IP53" s="96"/>
      <c r="IQ53" s="96"/>
      <c r="IR53" s="96"/>
      <c r="IS53" s="96"/>
      <c r="IT53" s="96"/>
      <c r="IU53" s="96"/>
      <c r="IV53" s="96"/>
      <c r="IW53" s="96"/>
      <c r="IX53" s="96"/>
      <c r="IY53" s="96"/>
      <c r="IZ53" s="96"/>
      <c r="JA53" s="65">
        <f t="shared" si="107"/>
        <v>0</v>
      </c>
      <c r="JB53" s="96"/>
      <c r="JC53" s="125">
        <v>6.7</v>
      </c>
      <c r="JD53" s="125"/>
      <c r="JE53" s="96"/>
      <c r="JF53" s="96"/>
      <c r="JG53" s="96"/>
      <c r="JH53" s="96"/>
      <c r="JI53" s="96"/>
      <c r="JJ53" s="96"/>
      <c r="JK53" s="96"/>
      <c r="JL53" s="96"/>
      <c r="JM53" s="96"/>
      <c r="JN53" s="96"/>
      <c r="JO53" s="96"/>
      <c r="JP53" s="65">
        <f t="shared" si="133"/>
        <v>0</v>
      </c>
      <c r="JQ53" s="63"/>
      <c r="LM53" s="205"/>
      <c r="LN53" s="102">
        <f>IFERROR(ROWS($IL$8:IL53)," ")</f>
        <v>46</v>
      </c>
      <c r="LO53" s="103" t="str">
        <f>IFERROR(IF([1]Checklist!$C$3='GenInfo (2)'!E53,'GenInfo (2)'!LN53," ")," ")</f>
        <v xml:space="preserve"> </v>
      </c>
      <c r="LP53" s="104" t="str">
        <f>IFERROR(SMALL($LO$8:$LO$94,ROWS($IL$8:IL53))," ")</f>
        <v xml:space="preserve"> </v>
      </c>
      <c r="LQ53" s="102">
        <f>IFERROR(ROWS($IL$8:IL53)," ")</f>
        <v>46</v>
      </c>
      <c r="LR53" s="103" t="str">
        <f>IFERROR(IF([1]Checklist!$C$4='GenInfo (2)'!E53,'GenInfo (2)'!LQ53," ")," ")</f>
        <v xml:space="preserve"> </v>
      </c>
      <c r="LS53" s="104" t="str">
        <f>IFERROR(SMALL($LR$8:$LR$94,ROWS($IL$8:IL53))," ")</f>
        <v xml:space="preserve"> </v>
      </c>
      <c r="LT53" s="102">
        <f>IFERROR(ROWS($IL$8:IL53)," ")</f>
        <v>46</v>
      </c>
      <c r="LU53" s="103" t="str">
        <f>IFERROR(IF([1]Checklist!$C$5='GenInfo (2)'!E53,'GenInfo (2)'!LT53," ")," ")</f>
        <v xml:space="preserve"> </v>
      </c>
      <c r="LV53" s="104" t="str">
        <f>IFERROR(SMALL($LU$8:$LU$94,ROWS($IL$8:IL53))," ")</f>
        <v xml:space="preserve"> </v>
      </c>
      <c r="LW53" s="102">
        <f>IFERROR(ROWS($IL$8:IL53)," ")</f>
        <v>46</v>
      </c>
      <c r="LX53" s="103" t="str">
        <f>IFERROR(IF([1]Checklist!$C$6='GenInfo (2)'!E53,'GenInfo (2)'!LW53," ")," ")</f>
        <v xml:space="preserve"> </v>
      </c>
      <c r="LY53" s="104" t="str">
        <f>IFERROR(SMALL($LX$8:$LX$94,ROWS($IL$8:IL53))," ")</f>
        <v xml:space="preserve"> </v>
      </c>
      <c r="LZ53" s="102">
        <f>IFERROR(ROWS($IL$8:IL53)," ")</f>
        <v>46</v>
      </c>
      <c r="MA53" s="103" t="str">
        <f>IFERROR(IF([1]Checklist!$C$7='GenInfo (2)'!E53,'GenInfo (2)'!LZ53," ")," ")</f>
        <v xml:space="preserve"> </v>
      </c>
      <c r="MB53" s="104" t="str">
        <f>IFERROR(SMALL($MA$8:$MA$94,ROWS($IL$8:IL53))," ")</f>
        <v xml:space="preserve"> </v>
      </c>
      <c r="MC53" s="102">
        <f>IFERROR(ROWS($IL$8:IL53)," ")</f>
        <v>46</v>
      </c>
      <c r="MD53" s="103" t="str">
        <f>IFERROR(IF([1]Checklist!$C$8='GenInfo (2)'!E53,'GenInfo (2)'!MC53," ")," ")</f>
        <v xml:space="preserve"> </v>
      </c>
      <c r="ME53" s="104" t="str">
        <f>IFERROR(SMALL($MD$8:$MD$94,ROWS($IL$8:IL53))," ")</f>
        <v xml:space="preserve"> </v>
      </c>
      <c r="MF53" s="102">
        <f>IFERROR(ROWS($IL$8:IL53)," ")</f>
        <v>46</v>
      </c>
      <c r="MG53" s="103" t="str">
        <f>IFERROR(IF([1]Checklist!$C$9='GenInfo (2)'!E53,'GenInfo (2)'!MF53," ")," ")</f>
        <v xml:space="preserve"> </v>
      </c>
      <c r="MH53" s="104" t="str">
        <f>IFERROR(SMALL($MG$8:$MG$94,ROWS($IL$8:IL53))," ")</f>
        <v xml:space="preserve"> </v>
      </c>
      <c r="MI53" s="102">
        <f>IFERROR(ROWS($IL$8:$IL53)," ")</f>
        <v>46</v>
      </c>
      <c r="MJ53" s="103" t="str">
        <f>IFERROR(IF([1]Checklist!$C$10='GenInfo (2)'!E53,'GenInfo (2)'!MI53," ")," ")</f>
        <v xml:space="preserve"> </v>
      </c>
      <c r="MK53" s="104" t="str">
        <f>IFERROR(SMALL($MJ$8:$MJ$94,ROWS($IL$8:IL53))," ")</f>
        <v xml:space="preserve"> </v>
      </c>
      <c r="ML53" s="102">
        <f>IFERROR(ROWS($IL$8:IL53)," ")</f>
        <v>46</v>
      </c>
      <c r="MM53" s="103" t="str">
        <f>IFERROR(IF([1]Checklist!$C$11='GenInfo (2)'!E53,'GenInfo (2)'!ML53," ")," ")</f>
        <v xml:space="preserve"> </v>
      </c>
      <c r="MN53" s="104" t="str">
        <f>IFERROR(SMALL($MM$8:$MM$94,ROWS($IL$8:IL53))," ")</f>
        <v xml:space="preserve"> </v>
      </c>
      <c r="MO53" s="102">
        <f>IFERROR(ROWS($IL$8:IL53)," ")</f>
        <v>46</v>
      </c>
      <c r="MP53" s="103" t="str">
        <f>IFERROR(IF([1]Checklist!$C$12='GenInfo (2)'!E53,'GenInfo (2)'!MO53," ")," ")</f>
        <v xml:space="preserve"> </v>
      </c>
      <c r="MQ53" s="104" t="str">
        <f>IFERROR(SMALL($MP$8:$MP$94,ROWS($IL$8:IL53))," ")</f>
        <v xml:space="preserve"> </v>
      </c>
      <c r="MR53" s="102">
        <f>IFERROR(ROWS($IL$8:IL53)," ")</f>
        <v>46</v>
      </c>
      <c r="MS53" s="103" t="str">
        <f>IFERROR(IF([1]Checklist!$C$13='GenInfo (2)'!E53,'GenInfo (2)'!MR53," ")," ")</f>
        <v xml:space="preserve"> </v>
      </c>
      <c r="MT53" s="104" t="str">
        <f>IFERROR(SMALL($MS$8:$MS$94,ROWS($IL$8:IL53))," ")</f>
        <v xml:space="preserve"> </v>
      </c>
      <c r="MU53" s="102">
        <f>IFERROR(ROWS($IL$8:IL53)," ")</f>
        <v>46</v>
      </c>
      <c r="MV53" s="103" t="str">
        <f>IFERROR(IF([1]Checklist!$C$14='GenInfo (2)'!E53,'GenInfo (2)'!MU53," ")," ")</f>
        <v xml:space="preserve"> </v>
      </c>
      <c r="MW53" s="104" t="str">
        <f>IFERROR(SMALL($MV$8:$MV$94,ROWS($IL$8:IL53))," ")</f>
        <v xml:space="preserve"> </v>
      </c>
      <c r="MX53" s="102">
        <f>IFERROR(ROWS($IL$8:IL53)," ")</f>
        <v>46</v>
      </c>
      <c r="MY53" s="103" t="str">
        <f>IFERROR(IF([1]Checklist!$C$15='GenInfo (2)'!E53,'GenInfo (2)'!MX53," ")," ")</f>
        <v xml:space="preserve"> </v>
      </c>
      <c r="MZ53" s="104" t="str">
        <f>IFERROR(SMALL($MY$8:$MY$94,ROWS($IL$8:IL53))," ")</f>
        <v xml:space="preserve"> </v>
      </c>
      <c r="NA53" s="102">
        <f>IFERROR(ROWS($IL$8:IL53)," ")</f>
        <v>46</v>
      </c>
      <c r="NB53" s="103" t="str">
        <f>IFERROR(IF([1]Checklist!$C$16='GenInfo (2)'!E53,'GenInfo (2)'!NA53," ")," ")</f>
        <v xml:space="preserve"> </v>
      </c>
      <c r="NC53" s="104" t="str">
        <f>IFERROR(SMALL($NB$8:$NB$94,ROWS($IL$8:IL53))," ")</f>
        <v xml:space="preserve"> </v>
      </c>
      <c r="ND53" s="102">
        <f>IFERROR(ROWS($IL$8:IL53)," ")</f>
        <v>46</v>
      </c>
      <c r="NE53" s="103">
        <f>IFERROR(IF([1]Checklist!$C$17='GenInfo (2)'!E53,'GenInfo (2)'!ND53," ")," ")</f>
        <v>46</v>
      </c>
      <c r="NF53" s="104" t="str">
        <f>IFERROR(SMALL($NE$8:$NE$94,ROWS($IL$8:IL53))," ")</f>
        <v xml:space="preserve"> </v>
      </c>
    </row>
    <row r="54" spans="1:370" ht="28.5" x14ac:dyDescent="0.45">
      <c r="A54" s="37" t="s">
        <v>213</v>
      </c>
      <c r="B54" s="37">
        <v>273</v>
      </c>
      <c r="C54" s="146" t="s">
        <v>692</v>
      </c>
      <c r="D54" t="s">
        <v>693</v>
      </c>
      <c r="E54" s="64" t="s">
        <v>682</v>
      </c>
      <c r="F54" s="63" t="s">
        <v>694</v>
      </c>
      <c r="G54" s="64" t="s">
        <v>218</v>
      </c>
      <c r="H54" s="63"/>
      <c r="I54" s="137" t="s">
        <v>695</v>
      </c>
      <c r="J54" s="63" t="s">
        <v>696</v>
      </c>
      <c r="K54" s="62"/>
      <c r="L54" s="67">
        <v>43851</v>
      </c>
      <c r="M54" s="67">
        <v>43851</v>
      </c>
      <c r="N54" s="67" t="s">
        <v>213</v>
      </c>
      <c r="O54" s="68">
        <v>43862</v>
      </c>
      <c r="P54" s="67">
        <v>43864</v>
      </c>
      <c r="Q54" s="67"/>
      <c r="R54" s="63" t="s">
        <v>297</v>
      </c>
      <c r="S54" s="67"/>
      <c r="T54" s="63"/>
      <c r="U54" s="62"/>
      <c r="V54" s="67">
        <v>43893</v>
      </c>
      <c r="W54" s="63" t="s">
        <v>222</v>
      </c>
      <c r="X54" s="69"/>
      <c r="Y54" s="63"/>
      <c r="Z54" s="69"/>
      <c r="AA54" s="62"/>
      <c r="AB54" s="63"/>
      <c r="AC54" s="63"/>
      <c r="AD54" s="63"/>
      <c r="AE54" s="63"/>
      <c r="AF54" s="63"/>
      <c r="AG54" s="63"/>
      <c r="AH54" s="63"/>
      <c r="AI54" s="63"/>
      <c r="AJ54" s="63"/>
      <c r="AK54" s="62"/>
      <c r="AL54" s="71">
        <f t="shared" si="95"/>
        <v>16</v>
      </c>
      <c r="AM54" s="71">
        <f t="shared" ca="1" si="129"/>
        <v>18</v>
      </c>
      <c r="AN54" s="67">
        <v>37952</v>
      </c>
      <c r="AO54" s="72">
        <f t="shared" ca="1" si="97"/>
        <v>33</v>
      </c>
      <c r="AP54" s="63" t="s">
        <v>313</v>
      </c>
      <c r="AQ54" s="73" t="s">
        <v>264</v>
      </c>
      <c r="AR54" s="70" t="s">
        <v>233</v>
      </c>
      <c r="AS54" s="63"/>
      <c r="AT54" s="63"/>
      <c r="AU54" s="63"/>
      <c r="AV54" s="63"/>
      <c r="AW54" s="63"/>
      <c r="AX54" s="63" t="s">
        <v>351</v>
      </c>
      <c r="AY54" s="63" t="s">
        <v>235</v>
      </c>
      <c r="AZ54" s="63" t="s">
        <v>235</v>
      </c>
      <c r="BA54" s="63" t="s">
        <v>235</v>
      </c>
      <c r="BB54" s="63"/>
      <c r="BC54" s="63"/>
      <c r="BD54" s="62"/>
      <c r="BE54" s="71">
        <f t="shared" si="135"/>
        <v>1</v>
      </c>
      <c r="BF54" s="71">
        <f t="shared" si="135"/>
        <v>1</v>
      </c>
      <c r="BG54" s="71">
        <f t="shared" si="99"/>
        <v>1</v>
      </c>
      <c r="BH54" s="74">
        <f t="shared" si="100"/>
        <v>0.26315789473684209</v>
      </c>
      <c r="BI54" s="75">
        <f t="shared" si="101"/>
        <v>1</v>
      </c>
      <c r="BJ54" s="71">
        <f t="shared" si="102"/>
        <v>0</v>
      </c>
      <c r="BK54" s="75">
        <f t="shared" si="103"/>
        <v>0</v>
      </c>
      <c r="BL54" s="76">
        <f t="shared" si="136"/>
        <v>0</v>
      </c>
      <c r="BM54" s="77">
        <f t="shared" si="136"/>
        <v>0</v>
      </c>
      <c r="BN54" s="78"/>
      <c r="BO54" s="67"/>
      <c r="BP54" s="67"/>
      <c r="BQ54" s="63"/>
      <c r="BR54" s="63"/>
      <c r="BS54" s="74" t="str">
        <f t="shared" si="108"/>
        <v xml:space="preserve"> </v>
      </c>
      <c r="BT54" s="79" t="s">
        <v>221</v>
      </c>
      <c r="BU54" s="79" t="s">
        <v>221</v>
      </c>
      <c r="BV54" s="80">
        <v>0</v>
      </c>
      <c r="BW54" s="81">
        <v>0</v>
      </c>
      <c r="BX54" s="82"/>
      <c r="BY54" s="83"/>
      <c r="BZ54" s="83"/>
      <c r="CA54" s="84"/>
      <c r="CB54" s="84"/>
      <c r="CC54" s="74" t="str">
        <f t="shared" si="109"/>
        <v xml:space="preserve"> </v>
      </c>
      <c r="CD54" s="79" t="s">
        <v>221</v>
      </c>
      <c r="CE54" s="81">
        <v>0</v>
      </c>
      <c r="CF54" s="85"/>
      <c r="CG54" s="85"/>
      <c r="CH54" s="85"/>
      <c r="CI54" s="78"/>
      <c r="CJ54" s="78"/>
      <c r="CK54" s="74" t="str">
        <f t="shared" si="110"/>
        <v xml:space="preserve"> </v>
      </c>
      <c r="CL54" s="79" t="s">
        <v>221</v>
      </c>
      <c r="CM54" s="79" t="s">
        <v>221</v>
      </c>
      <c r="CN54" s="86" t="s">
        <v>221</v>
      </c>
      <c r="CO54" s="81">
        <v>0</v>
      </c>
      <c r="CP54" s="87"/>
      <c r="CQ54" s="83"/>
      <c r="CR54" s="83"/>
      <c r="CS54" s="82"/>
      <c r="CT54" s="82"/>
      <c r="CU54" s="74" t="str">
        <f t="shared" si="111"/>
        <v xml:space="preserve"> </v>
      </c>
      <c r="CV54" s="79" t="s">
        <v>221</v>
      </c>
      <c r="CW54" s="79" t="s">
        <v>221</v>
      </c>
      <c r="CX54" s="88" t="s">
        <v>221</v>
      </c>
      <c r="CY54" s="81">
        <v>0</v>
      </c>
      <c r="CZ54" s="89"/>
      <c r="DA54" s="67"/>
      <c r="DB54" s="67"/>
      <c r="DC54" s="78"/>
      <c r="DD54" s="78"/>
      <c r="DE54" s="74" t="str">
        <f t="shared" si="112"/>
        <v xml:space="preserve"> </v>
      </c>
      <c r="DF54" s="79" t="s">
        <v>221</v>
      </c>
      <c r="DG54" s="79" t="s">
        <v>221</v>
      </c>
      <c r="DH54" s="79" t="s">
        <v>221</v>
      </c>
      <c r="DI54" s="81">
        <v>0</v>
      </c>
      <c r="DJ54" s="87"/>
      <c r="DK54" s="83"/>
      <c r="DL54" s="83"/>
      <c r="DM54" s="82"/>
      <c r="DN54" s="82"/>
      <c r="DO54" s="74" t="str">
        <f t="shared" si="113"/>
        <v xml:space="preserve"> </v>
      </c>
      <c r="DP54" s="79" t="s">
        <v>221</v>
      </c>
      <c r="DQ54" s="79" t="s">
        <v>221</v>
      </c>
      <c r="DR54" s="79" t="s">
        <v>221</v>
      </c>
      <c r="DS54" s="81">
        <v>0</v>
      </c>
      <c r="DT54" s="89"/>
      <c r="DU54" s="67"/>
      <c r="DV54" s="67"/>
      <c r="DW54" s="78"/>
      <c r="DX54" s="78"/>
      <c r="DY54" s="74" t="str">
        <f t="shared" si="114"/>
        <v xml:space="preserve"> </v>
      </c>
      <c r="DZ54" s="90">
        <v>0</v>
      </c>
      <c r="EA54" s="90">
        <v>0</v>
      </c>
      <c r="EB54" s="90">
        <v>0</v>
      </c>
      <c r="EC54" s="91">
        <v>0</v>
      </c>
      <c r="ED54" s="87"/>
      <c r="EE54" s="83"/>
      <c r="EF54" s="83"/>
      <c r="EG54" s="82">
        <v>19</v>
      </c>
      <c r="EH54" s="82">
        <v>5</v>
      </c>
      <c r="EI54" s="74">
        <f t="shared" si="105"/>
        <v>0.26315789473684209</v>
      </c>
      <c r="EJ54" s="92">
        <v>0</v>
      </c>
      <c r="EK54" s="92">
        <v>0</v>
      </c>
      <c r="EL54" s="92">
        <v>0</v>
      </c>
      <c r="EM54" s="93">
        <v>0</v>
      </c>
      <c r="EN54" s="89"/>
      <c r="EO54" s="67"/>
      <c r="EP54" s="67"/>
      <c r="EQ54" s="78">
        <v>10</v>
      </c>
      <c r="ER54" s="78">
        <v>6</v>
      </c>
      <c r="ES54" s="74">
        <f t="shared" si="106"/>
        <v>0.6</v>
      </c>
      <c r="ET54" s="94">
        <v>8</v>
      </c>
      <c r="EU54" s="94"/>
      <c r="EV54" s="94">
        <v>8</v>
      </c>
      <c r="EW54" s="95">
        <v>48</v>
      </c>
      <c r="EX54" s="87"/>
      <c r="EY54" s="83"/>
      <c r="EZ54" s="83"/>
      <c r="FA54" s="82"/>
      <c r="FB54" s="82"/>
      <c r="FC54" s="74" t="str">
        <f t="shared" si="115"/>
        <v xml:space="preserve"> </v>
      </c>
      <c r="FD54" s="92"/>
      <c r="FE54" s="92"/>
      <c r="FF54" s="92"/>
      <c r="FG54" s="92"/>
      <c r="FH54" s="76">
        <f t="shared" si="116"/>
        <v>0</v>
      </c>
      <c r="FI54" s="89"/>
      <c r="FJ54" s="67"/>
      <c r="FK54" s="67"/>
      <c r="FL54" s="78"/>
      <c r="FM54" s="78"/>
      <c r="FN54" s="74" t="str">
        <f t="shared" si="117"/>
        <v xml:space="preserve"> </v>
      </c>
      <c r="FO54" s="94"/>
      <c r="FP54" s="94"/>
      <c r="FQ54" s="94"/>
      <c r="FR54" s="94"/>
      <c r="FS54" s="76">
        <f t="shared" si="118"/>
        <v>0</v>
      </c>
      <c r="FT54" s="87"/>
      <c r="FU54" s="83"/>
      <c r="FV54" s="83"/>
      <c r="FW54" s="82"/>
      <c r="FX54" s="82"/>
      <c r="FY54" s="74" t="str">
        <f t="shared" si="119"/>
        <v xml:space="preserve"> </v>
      </c>
      <c r="FZ54" s="92"/>
      <c r="GA54" s="92"/>
      <c r="GB54" s="92"/>
      <c r="GC54" s="92"/>
      <c r="GD54" s="76">
        <f t="shared" si="120"/>
        <v>0</v>
      </c>
      <c r="GE54" s="62"/>
      <c r="GF54" s="96">
        <v>3</v>
      </c>
      <c r="GG54" s="96" t="s">
        <v>351</v>
      </c>
      <c r="GH54" s="63"/>
      <c r="GI54" s="63" t="s">
        <v>221</v>
      </c>
      <c r="GJ54" s="63" t="s">
        <v>221</v>
      </c>
      <c r="GK54" s="97">
        <f t="shared" si="84"/>
        <v>0</v>
      </c>
      <c r="GL54" s="63" t="s">
        <v>221</v>
      </c>
      <c r="GM54" s="98"/>
      <c r="GN54" s="97">
        <f t="shared" si="121"/>
        <v>0</v>
      </c>
      <c r="GO54" s="97">
        <f t="shared" si="122"/>
        <v>3</v>
      </c>
      <c r="GP54" s="62"/>
      <c r="GQ54" s="63" t="s">
        <v>213</v>
      </c>
      <c r="GR54" s="63" t="s">
        <v>213</v>
      </c>
      <c r="GS54" s="63" t="s">
        <v>213</v>
      </c>
      <c r="GT54" s="63" t="s">
        <v>213</v>
      </c>
      <c r="GU54" s="63" t="s">
        <v>213</v>
      </c>
      <c r="GV54" s="63" t="s">
        <v>237</v>
      </c>
      <c r="GW54" s="63" t="s">
        <v>237</v>
      </c>
      <c r="GX54" s="63"/>
      <c r="GY54" s="65" t="s">
        <v>239</v>
      </c>
      <c r="GZ54" s="65" t="s">
        <v>239</v>
      </c>
      <c r="HA54" s="63" t="s">
        <v>213</v>
      </c>
      <c r="HB54" s="63" t="s">
        <v>237</v>
      </c>
      <c r="HC54" s="63"/>
      <c r="HD54" s="63"/>
      <c r="HE54" s="63"/>
      <c r="HF54" s="63"/>
      <c r="HG54" s="63" t="s">
        <v>237</v>
      </c>
      <c r="HH54" s="63"/>
      <c r="HI54" s="63"/>
      <c r="HJ54" s="63"/>
      <c r="HK54" s="63"/>
      <c r="HL54" s="65" t="str">
        <f>IFERROR(IF(OR(IQ54&gt;0,IR54&gt;0,IS54&gt;0),"x",""),"")</f>
        <v/>
      </c>
      <c r="HM54" s="65" t="str">
        <f t="shared" si="124"/>
        <v/>
      </c>
      <c r="HN54" s="65" t="s">
        <v>239</v>
      </c>
      <c r="HO54" s="65" t="str">
        <f>IFERROR(IF(OR(JE54&gt;0,JF54&gt;0,JG54&gt;0,JH54&gt;0),"x",""),"")</f>
        <v/>
      </c>
      <c r="HP54" s="99" t="str">
        <f t="shared" si="130"/>
        <v/>
      </c>
      <c r="HQ54" s="65" t="s">
        <v>239</v>
      </c>
      <c r="HR54" s="63"/>
      <c r="HS54" s="63"/>
      <c r="HT54" s="63"/>
      <c r="HU54" s="63" t="s">
        <v>213</v>
      </c>
      <c r="HV54" s="63"/>
      <c r="HW54" s="63"/>
      <c r="HX54" s="63"/>
      <c r="HY54" s="63"/>
      <c r="HZ54" s="63"/>
      <c r="IA54" s="63"/>
      <c r="IB54" s="63"/>
      <c r="IC54" s="63" t="s">
        <v>237</v>
      </c>
      <c r="ID54" s="96"/>
      <c r="IE54" s="100"/>
      <c r="IF54" s="100"/>
      <c r="IG54" s="100"/>
      <c r="IH54" s="100"/>
      <c r="II54" s="100"/>
      <c r="IJ54" s="100"/>
      <c r="IK54" s="100"/>
      <c r="IL54" s="63"/>
      <c r="IM54" s="62"/>
      <c r="IN54" s="101"/>
      <c r="IO54" s="101"/>
      <c r="IP54" s="63"/>
      <c r="IQ54" s="63"/>
      <c r="IR54" s="63"/>
      <c r="IS54" s="63"/>
      <c r="IT54" s="63"/>
      <c r="IU54" s="63"/>
      <c r="IV54" s="63"/>
      <c r="IW54" s="63"/>
      <c r="IX54" s="63"/>
      <c r="IY54" s="63"/>
      <c r="IZ54" s="63"/>
      <c r="JA54" s="65">
        <f t="shared" si="107"/>
        <v>0</v>
      </c>
      <c r="JB54" s="63"/>
      <c r="JC54" s="101"/>
      <c r="JD54" s="101"/>
      <c r="JE54" s="63"/>
      <c r="JF54" s="63"/>
      <c r="JG54" s="63"/>
      <c r="JH54" s="63"/>
      <c r="JI54" s="63"/>
      <c r="JJ54" s="63"/>
      <c r="JK54" s="63"/>
      <c r="JL54" s="63"/>
      <c r="JM54" s="63"/>
      <c r="JN54" s="63"/>
      <c r="JO54" s="63"/>
      <c r="JP54" s="65">
        <f t="shared" si="133"/>
        <v>0</v>
      </c>
      <c r="JQ54" s="63"/>
      <c r="LM54" s="205"/>
      <c r="LN54" s="102">
        <f>IFERROR(ROWS($IL$8:IL54)," ")</f>
        <v>47</v>
      </c>
      <c r="LO54" s="103" t="str">
        <f>IFERROR(IF([1]Checklist!$C$3='GenInfo (2)'!E54,'GenInfo (2)'!LN54," ")," ")</f>
        <v xml:space="preserve"> </v>
      </c>
      <c r="LP54" s="104" t="str">
        <f>IFERROR(SMALL($LO$8:$LO$94,ROWS($IL$8:IL54))," ")</f>
        <v xml:space="preserve"> </v>
      </c>
      <c r="LQ54" s="102">
        <f>IFERROR(ROWS($IL$8:IL54)," ")</f>
        <v>47</v>
      </c>
      <c r="LR54" s="103" t="str">
        <f>IFERROR(IF([1]Checklist!$C$4='GenInfo (2)'!E54,'GenInfo (2)'!LQ54," ")," ")</f>
        <v xml:space="preserve"> </v>
      </c>
      <c r="LS54" s="104" t="str">
        <f>IFERROR(SMALL($LR$8:$LR$94,ROWS($IL$8:IL54))," ")</f>
        <v xml:space="preserve"> </v>
      </c>
      <c r="LT54" s="102">
        <f>IFERROR(ROWS($IL$8:IL54)," ")</f>
        <v>47</v>
      </c>
      <c r="LU54" s="103" t="str">
        <f>IFERROR(IF([1]Checklist!$C$5='GenInfo (2)'!E54,'GenInfo (2)'!LT54," ")," ")</f>
        <v xml:space="preserve"> </v>
      </c>
      <c r="LV54" s="104" t="str">
        <f>IFERROR(SMALL($LU$8:$LU$94,ROWS($IL$8:IL54))," ")</f>
        <v xml:space="preserve"> </v>
      </c>
      <c r="LW54" s="102">
        <f>IFERROR(ROWS($IL$8:IL54)," ")</f>
        <v>47</v>
      </c>
      <c r="LX54" s="103" t="str">
        <f>IFERROR(IF([1]Checklist!$C$6='GenInfo (2)'!E54,'GenInfo (2)'!LW54," ")," ")</f>
        <v xml:space="preserve"> </v>
      </c>
      <c r="LY54" s="104" t="str">
        <f>IFERROR(SMALL($LX$8:$LX$94,ROWS($IL$8:IL54))," ")</f>
        <v xml:space="preserve"> </v>
      </c>
      <c r="LZ54" s="102">
        <f>IFERROR(ROWS($IL$8:IL54)," ")</f>
        <v>47</v>
      </c>
      <c r="MA54" s="103" t="str">
        <f>IFERROR(IF([1]Checklist!$C$7='GenInfo (2)'!E54,'GenInfo (2)'!LZ54," ")," ")</f>
        <v xml:space="preserve"> </v>
      </c>
      <c r="MB54" s="104" t="str">
        <f>IFERROR(SMALL($MA$8:$MA$94,ROWS($IL$8:IL54))," ")</f>
        <v xml:space="preserve"> </v>
      </c>
      <c r="MC54" s="102">
        <f>IFERROR(ROWS($IL$8:IL54)," ")</f>
        <v>47</v>
      </c>
      <c r="MD54" s="103" t="str">
        <f>IFERROR(IF([1]Checklist!$C$8='GenInfo (2)'!E54,'GenInfo (2)'!MC54," ")," ")</f>
        <v xml:space="preserve"> </v>
      </c>
      <c r="ME54" s="104" t="str">
        <f>IFERROR(SMALL($MD$8:$MD$94,ROWS($IL$8:IL54))," ")</f>
        <v xml:space="preserve"> </v>
      </c>
      <c r="MF54" s="102">
        <f>IFERROR(ROWS($IL$8:IL54)," ")</f>
        <v>47</v>
      </c>
      <c r="MG54" s="103" t="str">
        <f>IFERROR(IF([1]Checklist!$C$9='GenInfo (2)'!E54,'GenInfo (2)'!MF54," ")," ")</f>
        <v xml:space="preserve"> </v>
      </c>
      <c r="MH54" s="104" t="str">
        <f>IFERROR(SMALL($MG$8:$MG$94,ROWS($IL$8:IL54))," ")</f>
        <v xml:space="preserve"> </v>
      </c>
      <c r="MI54" s="102">
        <f>IFERROR(ROWS($IL$8:$IL54)," ")</f>
        <v>47</v>
      </c>
      <c r="MJ54" s="103" t="str">
        <f>IFERROR(IF([1]Checklist!$C$10='GenInfo (2)'!E54,'GenInfo (2)'!MI54," ")," ")</f>
        <v xml:space="preserve"> </v>
      </c>
      <c r="MK54" s="104" t="str">
        <f>IFERROR(SMALL($MJ$8:$MJ$94,ROWS($IL$8:IL54))," ")</f>
        <v xml:space="preserve"> </v>
      </c>
      <c r="ML54" s="102">
        <f>IFERROR(ROWS($IL$8:IL54)," ")</f>
        <v>47</v>
      </c>
      <c r="MM54" s="103" t="str">
        <f>IFERROR(IF([1]Checklist!$C$11='GenInfo (2)'!E54,'GenInfo (2)'!ML54," ")," ")</f>
        <v xml:space="preserve"> </v>
      </c>
      <c r="MN54" s="104" t="str">
        <f>IFERROR(SMALL($MM$8:$MM$94,ROWS($IL$8:IL54))," ")</f>
        <v xml:space="preserve"> </v>
      </c>
      <c r="MO54" s="102">
        <f>IFERROR(ROWS($IL$8:IL54)," ")</f>
        <v>47</v>
      </c>
      <c r="MP54" s="103" t="str">
        <f>IFERROR(IF([1]Checklist!$C$12='GenInfo (2)'!E54,'GenInfo (2)'!MO54," ")," ")</f>
        <v xml:space="preserve"> </v>
      </c>
      <c r="MQ54" s="104" t="str">
        <f>IFERROR(SMALL($MP$8:$MP$94,ROWS($IL$8:IL54))," ")</f>
        <v xml:space="preserve"> </v>
      </c>
      <c r="MR54" s="102">
        <f>IFERROR(ROWS($IL$8:IL54)," ")</f>
        <v>47</v>
      </c>
      <c r="MS54" s="103" t="str">
        <f>IFERROR(IF([1]Checklist!$C$13='GenInfo (2)'!E54,'GenInfo (2)'!MR54," ")," ")</f>
        <v xml:space="preserve"> </v>
      </c>
      <c r="MT54" s="104" t="str">
        <f>IFERROR(SMALL($MS$8:$MS$94,ROWS($IL$8:IL54))," ")</f>
        <v xml:space="preserve"> </v>
      </c>
      <c r="MU54" s="102">
        <f>IFERROR(ROWS($IL$8:IL54)," ")</f>
        <v>47</v>
      </c>
      <c r="MV54" s="103" t="str">
        <f>IFERROR(IF([1]Checklist!$C$14='GenInfo (2)'!E54,'GenInfo (2)'!MU54," ")," ")</f>
        <v xml:space="preserve"> </v>
      </c>
      <c r="MW54" s="104" t="str">
        <f>IFERROR(SMALL($MV$8:$MV$94,ROWS($IL$8:IL54))," ")</f>
        <v xml:space="preserve"> </v>
      </c>
      <c r="MX54" s="102">
        <f>IFERROR(ROWS($IL$8:IL54)," ")</f>
        <v>47</v>
      </c>
      <c r="MY54" s="103" t="str">
        <f>IFERROR(IF([1]Checklist!$C$15='GenInfo (2)'!E54,'GenInfo (2)'!MX54," ")," ")</f>
        <v xml:space="preserve"> </v>
      </c>
      <c r="MZ54" s="104" t="str">
        <f>IFERROR(SMALL($MY$8:$MY$94,ROWS($IL$8:IL54))," ")</f>
        <v xml:space="preserve"> </v>
      </c>
      <c r="NA54" s="102">
        <f>IFERROR(ROWS($IL$8:IL54)," ")</f>
        <v>47</v>
      </c>
      <c r="NB54" s="103" t="str">
        <f>IFERROR(IF([1]Checklist!$C$16='GenInfo (2)'!E54,'GenInfo (2)'!NA54," ")," ")</f>
        <v xml:space="preserve"> </v>
      </c>
      <c r="NC54" s="104" t="str">
        <f>IFERROR(SMALL($NB$8:$NB$94,ROWS($IL$8:IL54))," ")</f>
        <v xml:space="preserve"> </v>
      </c>
      <c r="ND54" s="102">
        <f>IFERROR(ROWS($IL$8:IL54)," ")</f>
        <v>47</v>
      </c>
      <c r="NE54" s="103">
        <f>IFERROR(IF([1]Checklist!$C$17='GenInfo (2)'!E54,'GenInfo (2)'!ND54," ")," ")</f>
        <v>47</v>
      </c>
      <c r="NF54" s="104" t="str">
        <f>IFERROR(SMALL($NE$8:$NE$94,ROWS($IL$8:IL54))," ")</f>
        <v xml:space="preserve"> </v>
      </c>
    </row>
    <row r="55" spans="1:370" ht="28.5" x14ac:dyDescent="0.45">
      <c r="A55" s="37" t="s">
        <v>213</v>
      </c>
      <c r="B55" s="37">
        <v>279</v>
      </c>
      <c r="C55" s="146" t="s">
        <v>697</v>
      </c>
      <c r="D55" t="s">
        <v>698</v>
      </c>
      <c r="E55" s="64" t="s">
        <v>682</v>
      </c>
      <c r="F55" s="63">
        <v>97986885</v>
      </c>
      <c r="G55" s="64" t="s">
        <v>218</v>
      </c>
      <c r="H55" s="63"/>
      <c r="I55" s="137" t="s">
        <v>699</v>
      </c>
      <c r="J55" s="63" t="s">
        <v>700</v>
      </c>
      <c r="K55" s="62"/>
      <c r="L55" s="67">
        <v>43720</v>
      </c>
      <c r="M55" s="67">
        <v>43721</v>
      </c>
      <c r="N55" s="67" t="s">
        <v>213</v>
      </c>
      <c r="O55" s="68">
        <v>43709</v>
      </c>
      <c r="P55" s="67">
        <v>43721</v>
      </c>
      <c r="Q55" s="67">
        <v>43751</v>
      </c>
      <c r="R55" s="63" t="s">
        <v>297</v>
      </c>
      <c r="S55" s="67"/>
      <c r="T55" s="63"/>
      <c r="U55" s="62"/>
      <c r="V55" s="67">
        <v>43739</v>
      </c>
      <c r="W55" s="63" t="s">
        <v>222</v>
      </c>
      <c r="X55" s="69"/>
      <c r="Y55" s="67"/>
      <c r="Z55" s="69"/>
      <c r="AA55" s="62"/>
      <c r="AB55" s="63" t="s">
        <v>701</v>
      </c>
      <c r="AC55" s="63" t="s">
        <v>702</v>
      </c>
      <c r="AD55" s="63" t="s">
        <v>703</v>
      </c>
      <c r="AE55" s="63" t="s">
        <v>525</v>
      </c>
      <c r="AF55" s="63" t="s">
        <v>570</v>
      </c>
      <c r="AG55" s="63"/>
      <c r="AH55" s="63" t="s">
        <v>251</v>
      </c>
      <c r="AI55" s="63" t="s">
        <v>230</v>
      </c>
      <c r="AJ55" s="63">
        <v>60655</v>
      </c>
      <c r="AK55" s="62"/>
      <c r="AL55" s="71">
        <f t="shared" si="95"/>
        <v>19</v>
      </c>
      <c r="AM55" s="71">
        <f t="shared" ca="1" si="129"/>
        <v>22</v>
      </c>
      <c r="AN55" s="67">
        <v>36544</v>
      </c>
      <c r="AO55" s="72" t="str">
        <f t="shared" ca="1" si="97"/>
        <v/>
      </c>
      <c r="AP55" s="63" t="s">
        <v>313</v>
      </c>
      <c r="AQ55" s="73" t="s">
        <v>232</v>
      </c>
      <c r="AR55" s="70" t="s">
        <v>288</v>
      </c>
      <c r="AS55" s="63">
        <v>2</v>
      </c>
      <c r="AT55" s="63">
        <v>0</v>
      </c>
      <c r="AU55" s="63"/>
      <c r="AV55" s="63"/>
      <c r="AW55" s="63"/>
      <c r="AX55" s="63" t="s">
        <v>236</v>
      </c>
      <c r="AY55" s="63" t="s">
        <v>235</v>
      </c>
      <c r="AZ55" s="63" t="s">
        <v>290</v>
      </c>
      <c r="BA55" s="63" t="s">
        <v>290</v>
      </c>
      <c r="BB55" s="63"/>
      <c r="BC55" s="63">
        <v>1</v>
      </c>
      <c r="BD55" s="62"/>
      <c r="BE55" s="71">
        <f t="shared" si="135"/>
        <v>5</v>
      </c>
      <c r="BF55" s="71">
        <f t="shared" si="135"/>
        <v>5</v>
      </c>
      <c r="BG55" s="71">
        <f t="shared" si="99"/>
        <v>0</v>
      </c>
      <c r="BH55" s="74">
        <f t="shared" si="100"/>
        <v>0.94782608695652171</v>
      </c>
      <c r="BI55" s="75">
        <f t="shared" si="101"/>
        <v>0</v>
      </c>
      <c r="BJ55" s="71">
        <f t="shared" si="102"/>
        <v>4</v>
      </c>
      <c r="BK55" s="75">
        <f t="shared" si="103"/>
        <v>0.8</v>
      </c>
      <c r="BL55" s="76">
        <f t="shared" si="136"/>
        <v>124</v>
      </c>
      <c r="BM55" s="77">
        <f t="shared" si="136"/>
        <v>760</v>
      </c>
      <c r="BN55" s="78"/>
      <c r="BO55" s="67"/>
      <c r="BP55" s="67"/>
      <c r="BQ55" s="63"/>
      <c r="BR55" s="63"/>
      <c r="BS55" s="74" t="str">
        <f t="shared" si="108"/>
        <v xml:space="preserve"> </v>
      </c>
      <c r="BT55" s="79">
        <v>0</v>
      </c>
      <c r="BU55" s="79">
        <v>0</v>
      </c>
      <c r="BV55" s="80">
        <v>0</v>
      </c>
      <c r="BW55" s="81">
        <v>0</v>
      </c>
      <c r="BX55" s="82"/>
      <c r="BY55" s="83"/>
      <c r="BZ55" s="83"/>
      <c r="CA55" s="84"/>
      <c r="CB55" s="84"/>
      <c r="CC55" s="74" t="str">
        <f t="shared" si="109"/>
        <v xml:space="preserve"> </v>
      </c>
      <c r="CD55" s="79">
        <v>0</v>
      </c>
      <c r="CE55" s="81">
        <v>0</v>
      </c>
      <c r="CF55" s="85"/>
      <c r="CG55" s="85"/>
      <c r="CH55" s="85"/>
      <c r="CI55" s="78"/>
      <c r="CJ55" s="78"/>
      <c r="CK55" s="74" t="str">
        <f t="shared" si="110"/>
        <v xml:space="preserve"> </v>
      </c>
      <c r="CL55" s="79">
        <v>0</v>
      </c>
      <c r="CM55" s="79">
        <v>0</v>
      </c>
      <c r="CN55" s="86">
        <v>0</v>
      </c>
      <c r="CO55" s="81">
        <v>0</v>
      </c>
      <c r="CP55" s="87"/>
      <c r="CQ55" s="83"/>
      <c r="CR55" s="83"/>
      <c r="CS55" s="82">
        <v>23</v>
      </c>
      <c r="CT55" s="82">
        <v>17</v>
      </c>
      <c r="CU55" s="74">
        <f t="shared" si="111"/>
        <v>0.73913043478260865</v>
      </c>
      <c r="CV55" s="79">
        <v>16</v>
      </c>
      <c r="CW55" s="79">
        <v>0</v>
      </c>
      <c r="CX55" s="88">
        <v>16</v>
      </c>
      <c r="CY55" s="81">
        <v>96</v>
      </c>
      <c r="CZ55" s="89"/>
      <c r="DA55" s="67"/>
      <c r="DB55" s="67"/>
      <c r="DC55" s="78">
        <v>16</v>
      </c>
      <c r="DD55" s="78">
        <v>16</v>
      </c>
      <c r="DE55" s="74">
        <f t="shared" si="112"/>
        <v>1</v>
      </c>
      <c r="DF55" s="79">
        <v>20</v>
      </c>
      <c r="DG55" s="79">
        <v>14</v>
      </c>
      <c r="DH55" s="79">
        <v>34</v>
      </c>
      <c r="DI55" s="81">
        <v>204</v>
      </c>
      <c r="DJ55" s="87"/>
      <c r="DK55" s="83"/>
      <c r="DL55" s="83"/>
      <c r="DM55" s="82">
        <v>15</v>
      </c>
      <c r="DN55" s="82">
        <v>15</v>
      </c>
      <c r="DO55" s="74">
        <f t="shared" si="113"/>
        <v>1</v>
      </c>
      <c r="DP55" s="79">
        <v>20</v>
      </c>
      <c r="DQ55" s="79">
        <v>10</v>
      </c>
      <c r="DR55" s="79">
        <v>30</v>
      </c>
      <c r="DS55" s="81">
        <v>180</v>
      </c>
      <c r="DT55" s="89"/>
      <c r="DU55" s="67"/>
      <c r="DV55" s="67"/>
      <c r="DW55" s="78">
        <v>18</v>
      </c>
      <c r="DX55" s="78">
        <v>18</v>
      </c>
      <c r="DY55" s="74">
        <f t="shared" si="114"/>
        <v>1</v>
      </c>
      <c r="DZ55" s="90">
        <v>20</v>
      </c>
      <c r="EA55" s="90">
        <v>0</v>
      </c>
      <c r="EB55" s="90">
        <v>20</v>
      </c>
      <c r="EC55" s="91">
        <v>120</v>
      </c>
      <c r="ED55" s="87"/>
      <c r="EE55" s="83"/>
      <c r="EF55" s="83"/>
      <c r="EG55" s="82">
        <v>19</v>
      </c>
      <c r="EH55" s="82">
        <v>19</v>
      </c>
      <c r="EI55" s="74">
        <f t="shared" si="105"/>
        <v>1</v>
      </c>
      <c r="EJ55" s="92">
        <v>20</v>
      </c>
      <c r="EK55" s="92">
        <v>20</v>
      </c>
      <c r="EL55" s="92">
        <v>40</v>
      </c>
      <c r="EM55" s="93">
        <v>240</v>
      </c>
      <c r="EN55" s="89"/>
      <c r="EO55" s="67"/>
      <c r="EP55" s="67"/>
      <c r="EQ55" s="78">
        <v>10</v>
      </c>
      <c r="ER55" s="78">
        <v>9</v>
      </c>
      <c r="ES55" s="74">
        <f t="shared" si="106"/>
        <v>0.9</v>
      </c>
      <c r="ET55" s="94">
        <v>18</v>
      </c>
      <c r="EU55" s="94"/>
      <c r="EV55" s="94">
        <v>18</v>
      </c>
      <c r="EW55" s="95">
        <v>108</v>
      </c>
      <c r="EX55" s="87"/>
      <c r="EY55" s="83"/>
      <c r="EZ55" s="83"/>
      <c r="FA55" s="82"/>
      <c r="FB55" s="82"/>
      <c r="FC55" s="74" t="str">
        <f t="shared" si="115"/>
        <v xml:space="preserve"> </v>
      </c>
      <c r="FD55" s="92"/>
      <c r="FE55" s="92"/>
      <c r="FF55" s="92"/>
      <c r="FG55" s="92"/>
      <c r="FH55" s="76">
        <f t="shared" si="116"/>
        <v>0</v>
      </c>
      <c r="FI55" s="89"/>
      <c r="FJ55" s="67"/>
      <c r="FK55" s="67"/>
      <c r="FL55" s="78"/>
      <c r="FM55" s="78"/>
      <c r="FN55" s="74" t="str">
        <f t="shared" si="117"/>
        <v xml:space="preserve"> </v>
      </c>
      <c r="FO55" s="94"/>
      <c r="FP55" s="94"/>
      <c r="FQ55" s="94"/>
      <c r="FR55" s="94"/>
      <c r="FS55" s="76">
        <f t="shared" si="118"/>
        <v>0</v>
      </c>
      <c r="FT55" s="87"/>
      <c r="FU55" s="83"/>
      <c r="FV55" s="83"/>
      <c r="FW55" s="82"/>
      <c r="FX55" s="82"/>
      <c r="FY55" s="74" t="str">
        <f t="shared" si="119"/>
        <v xml:space="preserve"> </v>
      </c>
      <c r="FZ55" s="92"/>
      <c r="GA55" s="92"/>
      <c r="GB55" s="92"/>
      <c r="GC55" s="92"/>
      <c r="GD55" s="76">
        <f t="shared" si="120"/>
        <v>0</v>
      </c>
      <c r="GE55" s="62"/>
      <c r="GF55" s="96">
        <v>16.25</v>
      </c>
      <c r="GG55" s="96" t="s">
        <v>236</v>
      </c>
      <c r="GH55" s="63"/>
      <c r="GI55" s="63">
        <v>1.5</v>
      </c>
      <c r="GJ55" s="63">
        <v>2</v>
      </c>
      <c r="GK55" s="97">
        <f t="shared" si="84"/>
        <v>3.5</v>
      </c>
      <c r="GL55" s="63">
        <v>1.5</v>
      </c>
      <c r="GM55" s="98"/>
      <c r="GN55" s="97">
        <f t="shared" si="121"/>
        <v>1.5</v>
      </c>
      <c r="GO55" s="97">
        <f t="shared" si="122"/>
        <v>21.25</v>
      </c>
      <c r="GP55" s="62"/>
      <c r="GQ55" s="63" t="s">
        <v>213</v>
      </c>
      <c r="GR55" s="63" t="s">
        <v>213</v>
      </c>
      <c r="GS55" s="63" t="s">
        <v>213</v>
      </c>
      <c r="GT55" s="63" t="s">
        <v>213</v>
      </c>
      <c r="GU55" s="63" t="s">
        <v>213</v>
      </c>
      <c r="GV55" s="63" t="s">
        <v>213</v>
      </c>
      <c r="GW55" s="63" t="s">
        <v>237</v>
      </c>
      <c r="GX55" s="63" t="s">
        <v>238</v>
      </c>
      <c r="GY55" s="65" t="str">
        <f>IFERROR(IF(IN55&gt;0,"X",""),"")</f>
        <v>X</v>
      </c>
      <c r="GZ55" s="65" t="str">
        <f>IFERROR(IF(JC55&gt;0,"X",""),"")</f>
        <v>X</v>
      </c>
      <c r="HA55" s="63" t="s">
        <v>213</v>
      </c>
      <c r="HB55" s="63" t="s">
        <v>213</v>
      </c>
      <c r="HC55" s="63"/>
      <c r="HD55" s="63"/>
      <c r="HE55" s="63"/>
      <c r="HF55" s="63"/>
      <c r="HG55" s="160" t="s">
        <v>213</v>
      </c>
      <c r="HH55" s="63"/>
      <c r="HI55" s="63"/>
      <c r="HJ55" s="63"/>
      <c r="HK55" s="63"/>
      <c r="HL55" s="65" t="str">
        <f>IFERROR(IF(OR(IQ55&gt;0,IR55&gt;0,IS55&gt;0),"x",""),"")</f>
        <v>x</v>
      </c>
      <c r="HM55" s="65" t="str">
        <f t="shared" si="124"/>
        <v/>
      </c>
      <c r="HN55" s="65" t="s">
        <v>239</v>
      </c>
      <c r="HO55" s="65" t="str">
        <f>IFERROR(IF(OR(JE55&gt;0,JF55&gt;0,JG55&gt;0,JH55&gt;0),"x",""),"")</f>
        <v>x</v>
      </c>
      <c r="HP55" s="99" t="str">
        <f t="shared" si="130"/>
        <v/>
      </c>
      <c r="HQ55" s="65" t="s">
        <v>239</v>
      </c>
      <c r="HR55" s="63"/>
      <c r="HS55" s="63" t="s">
        <v>213</v>
      </c>
      <c r="HT55" s="63"/>
      <c r="HU55" s="63" t="s">
        <v>213</v>
      </c>
      <c r="HV55" s="63"/>
      <c r="HW55" s="63" t="s">
        <v>239</v>
      </c>
      <c r="HX55" s="96" t="s">
        <v>213</v>
      </c>
      <c r="HY55" s="63"/>
      <c r="HZ55" s="63"/>
      <c r="IA55" s="63" t="s">
        <v>213</v>
      </c>
      <c r="IB55" s="63"/>
      <c r="IC55" s="63"/>
      <c r="ID55" s="63" t="s">
        <v>240</v>
      </c>
      <c r="IE55" s="100" t="s">
        <v>213</v>
      </c>
      <c r="IF55" s="100" t="s">
        <v>213</v>
      </c>
      <c r="IG55" s="100" t="s">
        <v>213</v>
      </c>
      <c r="IH55" s="100" t="s">
        <v>213</v>
      </c>
      <c r="II55" s="100" t="s">
        <v>213</v>
      </c>
      <c r="IJ55" s="100" t="s">
        <v>213</v>
      </c>
      <c r="IK55" s="100" t="s">
        <v>213</v>
      </c>
      <c r="IL55" s="63"/>
      <c r="IM55" s="62"/>
      <c r="IN55" s="101">
        <v>3.6</v>
      </c>
      <c r="IO55" s="101"/>
      <c r="IP55" s="63"/>
      <c r="IQ55" s="63">
        <v>3.6</v>
      </c>
      <c r="IR55" s="63"/>
      <c r="IS55" s="63"/>
      <c r="IT55" s="63"/>
      <c r="IU55" s="96"/>
      <c r="IV55" s="63"/>
      <c r="IW55" s="63"/>
      <c r="IX55" s="63"/>
      <c r="IY55" s="63"/>
      <c r="IZ55" s="63"/>
      <c r="JA55" s="65">
        <f t="shared" si="107"/>
        <v>1</v>
      </c>
      <c r="JB55" s="63"/>
      <c r="JC55" s="101">
        <v>8.6999999999999993</v>
      </c>
      <c r="JD55" s="101"/>
      <c r="JE55" s="63"/>
      <c r="JF55" s="63">
        <v>8.6999999999999993</v>
      </c>
      <c r="JG55" s="63"/>
      <c r="JH55" s="63"/>
      <c r="JI55" s="63"/>
      <c r="JJ55" s="96"/>
      <c r="JK55" s="63"/>
      <c r="JL55" s="63"/>
      <c r="JM55" s="96"/>
      <c r="JN55" s="96"/>
      <c r="JO55" s="63"/>
      <c r="JP55" s="65">
        <f t="shared" si="133"/>
        <v>1</v>
      </c>
      <c r="JQ55" s="63"/>
      <c r="LM55" s="205"/>
      <c r="LN55" s="102">
        <f>IFERROR(ROWS($IL$8:IL55)," ")</f>
        <v>48</v>
      </c>
      <c r="LO55" s="103" t="str">
        <f>IFERROR(IF([1]Checklist!$C$3='GenInfo (2)'!E55,'GenInfo (2)'!LN55," ")," ")</f>
        <v xml:space="preserve"> </v>
      </c>
      <c r="LP55" s="104" t="str">
        <f>IFERROR(SMALL($LO$8:$LO$94,ROWS($IL$8:IL55))," ")</f>
        <v xml:space="preserve"> </v>
      </c>
      <c r="LQ55" s="102">
        <f>IFERROR(ROWS($IL$8:IL55)," ")</f>
        <v>48</v>
      </c>
      <c r="LR55" s="103" t="str">
        <f>IFERROR(IF([1]Checklist!$C$4='GenInfo (2)'!E55,'GenInfo (2)'!LQ55," ")," ")</f>
        <v xml:space="preserve"> </v>
      </c>
      <c r="LS55" s="104" t="str">
        <f>IFERROR(SMALL($LR$8:$LR$94,ROWS($IL$8:IL55))," ")</f>
        <v xml:space="preserve"> </v>
      </c>
      <c r="LT55" s="102">
        <f>IFERROR(ROWS($IL$8:IL55)," ")</f>
        <v>48</v>
      </c>
      <c r="LU55" s="103" t="str">
        <f>IFERROR(IF([1]Checklist!$C$5='GenInfo (2)'!E55,'GenInfo (2)'!LT55," ")," ")</f>
        <v xml:space="preserve"> </v>
      </c>
      <c r="LV55" s="104" t="str">
        <f>IFERROR(SMALL($LU$8:$LU$94,ROWS($IL$8:IL55))," ")</f>
        <v xml:space="preserve"> </v>
      </c>
      <c r="LW55" s="102">
        <f>IFERROR(ROWS($IL$8:IL55)," ")</f>
        <v>48</v>
      </c>
      <c r="LX55" s="103" t="str">
        <f>IFERROR(IF([1]Checklist!$C$6='GenInfo (2)'!E55,'GenInfo (2)'!LW55," ")," ")</f>
        <v xml:space="preserve"> </v>
      </c>
      <c r="LY55" s="104" t="str">
        <f>IFERROR(SMALL($LX$8:$LX$94,ROWS($IL$8:IL55))," ")</f>
        <v xml:space="preserve"> </v>
      </c>
      <c r="LZ55" s="102">
        <f>IFERROR(ROWS($IL$8:IL55)," ")</f>
        <v>48</v>
      </c>
      <c r="MA55" s="103" t="str">
        <f>IFERROR(IF([1]Checklist!$C$7='GenInfo (2)'!E55,'GenInfo (2)'!LZ55," ")," ")</f>
        <v xml:space="preserve"> </v>
      </c>
      <c r="MB55" s="104" t="str">
        <f>IFERROR(SMALL($MA$8:$MA$94,ROWS($IL$8:IL55))," ")</f>
        <v xml:space="preserve"> </v>
      </c>
      <c r="MC55" s="102">
        <f>IFERROR(ROWS($IL$8:IL55)," ")</f>
        <v>48</v>
      </c>
      <c r="MD55" s="103" t="str">
        <f>IFERROR(IF([1]Checklist!$C$8='GenInfo (2)'!E55,'GenInfo (2)'!MC55," ")," ")</f>
        <v xml:space="preserve"> </v>
      </c>
      <c r="ME55" s="104" t="str">
        <f>IFERROR(SMALL($MD$8:$MD$94,ROWS($IL$8:IL55))," ")</f>
        <v xml:space="preserve"> </v>
      </c>
      <c r="MF55" s="102">
        <f>IFERROR(ROWS($IL$8:IL55)," ")</f>
        <v>48</v>
      </c>
      <c r="MG55" s="103" t="str">
        <f>IFERROR(IF([1]Checklist!$C$9='GenInfo (2)'!E55,'GenInfo (2)'!MF55," ")," ")</f>
        <v xml:space="preserve"> </v>
      </c>
      <c r="MH55" s="104" t="str">
        <f>IFERROR(SMALL($MG$8:$MG$94,ROWS($IL$8:IL55))," ")</f>
        <v xml:space="preserve"> </v>
      </c>
      <c r="MI55" s="102">
        <f>IFERROR(ROWS($IL$8:$IL55)," ")</f>
        <v>48</v>
      </c>
      <c r="MJ55" s="103" t="str">
        <f>IFERROR(IF([1]Checklist!$C$10='GenInfo (2)'!E55,'GenInfo (2)'!MI55," ")," ")</f>
        <v xml:space="preserve"> </v>
      </c>
      <c r="MK55" s="104" t="str">
        <f>IFERROR(SMALL($MJ$8:$MJ$94,ROWS($IL$8:IL55))," ")</f>
        <v xml:space="preserve"> </v>
      </c>
      <c r="ML55" s="102">
        <f>IFERROR(ROWS($IL$8:IL55)," ")</f>
        <v>48</v>
      </c>
      <c r="MM55" s="103" t="str">
        <f>IFERROR(IF([1]Checklist!$C$11='GenInfo (2)'!E55,'GenInfo (2)'!ML55," ")," ")</f>
        <v xml:space="preserve"> </v>
      </c>
      <c r="MN55" s="104" t="str">
        <f>IFERROR(SMALL($MM$8:$MM$94,ROWS($IL$8:IL55))," ")</f>
        <v xml:space="preserve"> </v>
      </c>
      <c r="MO55" s="102">
        <f>IFERROR(ROWS($IL$8:IL55)," ")</f>
        <v>48</v>
      </c>
      <c r="MP55" s="103" t="str">
        <f>IFERROR(IF([1]Checklist!$C$12='GenInfo (2)'!E55,'GenInfo (2)'!MO55," ")," ")</f>
        <v xml:space="preserve"> </v>
      </c>
      <c r="MQ55" s="104" t="str">
        <f>IFERROR(SMALL($MP$8:$MP$94,ROWS($IL$8:IL55))," ")</f>
        <v xml:space="preserve"> </v>
      </c>
      <c r="MR55" s="102">
        <f>IFERROR(ROWS($IL$8:IL55)," ")</f>
        <v>48</v>
      </c>
      <c r="MS55" s="103" t="str">
        <f>IFERROR(IF([1]Checklist!$C$13='GenInfo (2)'!E55,'GenInfo (2)'!MR55," ")," ")</f>
        <v xml:space="preserve"> </v>
      </c>
      <c r="MT55" s="104" t="str">
        <f>IFERROR(SMALL($MS$8:$MS$94,ROWS($IL$8:IL55))," ")</f>
        <v xml:space="preserve"> </v>
      </c>
      <c r="MU55" s="102">
        <f>IFERROR(ROWS($IL$8:IL55)," ")</f>
        <v>48</v>
      </c>
      <c r="MV55" s="103" t="str">
        <f>IFERROR(IF([1]Checklist!$C$14='GenInfo (2)'!E55,'GenInfo (2)'!MU55," ")," ")</f>
        <v xml:space="preserve"> </v>
      </c>
      <c r="MW55" s="104" t="str">
        <f>IFERROR(SMALL($MV$8:$MV$94,ROWS($IL$8:IL55))," ")</f>
        <v xml:space="preserve"> </v>
      </c>
      <c r="MX55" s="102">
        <f>IFERROR(ROWS($IL$8:IL55)," ")</f>
        <v>48</v>
      </c>
      <c r="MY55" s="103" t="str">
        <f>IFERROR(IF([1]Checklist!$C$15='GenInfo (2)'!E55,'GenInfo (2)'!MX55," ")," ")</f>
        <v xml:space="preserve"> </v>
      </c>
      <c r="MZ55" s="104" t="str">
        <f>IFERROR(SMALL($MY$8:$MY$94,ROWS($IL$8:IL55))," ")</f>
        <v xml:space="preserve"> </v>
      </c>
      <c r="NA55" s="102">
        <f>IFERROR(ROWS($IL$8:IL55)," ")</f>
        <v>48</v>
      </c>
      <c r="NB55" s="103" t="str">
        <f>IFERROR(IF([1]Checklist!$C$16='GenInfo (2)'!E55,'GenInfo (2)'!NA55," ")," ")</f>
        <v xml:space="preserve"> </v>
      </c>
      <c r="NC55" s="104" t="str">
        <f>IFERROR(SMALL($NB$8:$NB$94,ROWS($IL$8:IL55))," ")</f>
        <v xml:space="preserve"> </v>
      </c>
      <c r="ND55" s="102">
        <f>IFERROR(ROWS($IL$8:IL55)," ")</f>
        <v>48</v>
      </c>
      <c r="NE55" s="103">
        <f>IFERROR(IF([1]Checklist!$C$17='GenInfo (2)'!E55,'GenInfo (2)'!ND55," ")," ")</f>
        <v>48</v>
      </c>
      <c r="NF55" s="104" t="str">
        <f>IFERROR(SMALL($NE$8:$NE$94,ROWS($IL$8:IL55))," ")</f>
        <v xml:space="preserve"> </v>
      </c>
    </row>
    <row r="56" spans="1:370" ht="28.5" x14ac:dyDescent="0.45">
      <c r="A56" s="37" t="s">
        <v>213</v>
      </c>
      <c r="B56" s="37">
        <v>280</v>
      </c>
      <c r="C56" s="146" t="s">
        <v>704</v>
      </c>
      <c r="D56" t="s">
        <v>705</v>
      </c>
      <c r="E56" s="106" t="s">
        <v>682</v>
      </c>
      <c r="F56" s="96" t="s">
        <v>706</v>
      </c>
      <c r="G56" s="107" t="s">
        <v>218</v>
      </c>
      <c r="H56" s="96"/>
      <c r="I56" s="131" t="s">
        <v>707</v>
      </c>
      <c r="J56" s="96" t="s">
        <v>708</v>
      </c>
      <c r="K56" s="111"/>
      <c r="L56" s="108" t="s">
        <v>221</v>
      </c>
      <c r="M56" s="108" t="s">
        <v>221</v>
      </c>
      <c r="N56" s="108"/>
      <c r="O56" s="109" t="s">
        <v>221</v>
      </c>
      <c r="P56" s="108"/>
      <c r="Q56" s="108"/>
      <c r="R56" s="96"/>
      <c r="S56" s="108"/>
      <c r="T56" s="96"/>
      <c r="U56" s="111"/>
      <c r="V56" s="108">
        <v>42998</v>
      </c>
      <c r="W56" s="63" t="s">
        <v>222</v>
      </c>
      <c r="X56" s="110"/>
      <c r="Y56" s="108"/>
      <c r="Z56" s="110"/>
      <c r="AA56" s="133"/>
      <c r="AB56" s="96" t="s">
        <v>709</v>
      </c>
      <c r="AC56" s="96" t="s">
        <v>710</v>
      </c>
      <c r="AD56" s="96" t="s">
        <v>711</v>
      </c>
      <c r="AE56" s="96" t="s">
        <v>226</v>
      </c>
      <c r="AF56" s="96" t="s">
        <v>712</v>
      </c>
      <c r="AG56" s="96"/>
      <c r="AH56" s="96" t="s">
        <v>251</v>
      </c>
      <c r="AI56" s="96" t="s">
        <v>230</v>
      </c>
      <c r="AJ56" s="96">
        <v>60616</v>
      </c>
      <c r="AK56" s="111"/>
      <c r="AL56" s="71">
        <f t="shared" si="95"/>
        <v>16</v>
      </c>
      <c r="AM56" s="71">
        <f t="shared" ca="1" si="129"/>
        <v>20</v>
      </c>
      <c r="AN56" s="108">
        <v>36965</v>
      </c>
      <c r="AO56" s="72">
        <f t="shared" ca="1" si="97"/>
        <v>1</v>
      </c>
      <c r="AP56" s="96" t="s">
        <v>231</v>
      </c>
      <c r="AQ56" s="113" t="s">
        <v>264</v>
      </c>
      <c r="AR56" s="107" t="s">
        <v>288</v>
      </c>
      <c r="AS56" s="96">
        <v>2</v>
      </c>
      <c r="AT56" s="96"/>
      <c r="AU56" s="96"/>
      <c r="AV56" s="96">
        <v>2</v>
      </c>
      <c r="AW56" s="96">
        <v>60</v>
      </c>
      <c r="AX56" s="96" t="s">
        <v>234</v>
      </c>
      <c r="AY56" s="96" t="s">
        <v>235</v>
      </c>
      <c r="AZ56" s="96" t="s">
        <v>235</v>
      </c>
      <c r="BA56" s="96" t="s">
        <v>290</v>
      </c>
      <c r="BB56" s="96"/>
      <c r="BC56" s="115"/>
      <c r="BD56" s="62"/>
      <c r="BE56" s="71">
        <f t="shared" si="135"/>
        <v>6</v>
      </c>
      <c r="BF56" s="71">
        <f t="shared" si="135"/>
        <v>6</v>
      </c>
      <c r="BG56" s="71">
        <f t="shared" si="99"/>
        <v>0</v>
      </c>
      <c r="BH56" s="74">
        <f t="shared" si="100"/>
        <v>0.87657004830917862</v>
      </c>
      <c r="BI56" s="75">
        <f t="shared" si="101"/>
        <v>0</v>
      </c>
      <c r="BJ56" s="71">
        <f t="shared" si="102"/>
        <v>6</v>
      </c>
      <c r="BK56" s="75">
        <f t="shared" si="103"/>
        <v>1</v>
      </c>
      <c r="BL56" s="76">
        <f t="shared" si="136"/>
        <v>134</v>
      </c>
      <c r="BM56" s="77">
        <f t="shared" si="136"/>
        <v>732</v>
      </c>
      <c r="BN56" s="114"/>
      <c r="BO56" s="108"/>
      <c r="BP56" s="108"/>
      <c r="BQ56" s="115"/>
      <c r="BR56" s="115"/>
      <c r="BS56" s="74" t="str">
        <f t="shared" si="108"/>
        <v xml:space="preserve"> </v>
      </c>
      <c r="BT56" s="79">
        <v>0</v>
      </c>
      <c r="BU56" s="79">
        <v>0</v>
      </c>
      <c r="BV56" s="80">
        <v>0</v>
      </c>
      <c r="BW56" s="81">
        <v>0</v>
      </c>
      <c r="BX56" s="116"/>
      <c r="BY56" s="121"/>
      <c r="BZ56" s="121"/>
      <c r="CA56" s="128"/>
      <c r="CB56" s="128"/>
      <c r="CC56" s="74" t="str">
        <f t="shared" si="109"/>
        <v xml:space="preserve"> </v>
      </c>
      <c r="CD56" s="79">
        <v>0</v>
      </c>
      <c r="CE56" s="81">
        <v>0</v>
      </c>
      <c r="CF56" s="119"/>
      <c r="CG56" s="119"/>
      <c r="CH56" s="119"/>
      <c r="CI56" s="114">
        <v>20</v>
      </c>
      <c r="CJ56" s="114">
        <v>14</v>
      </c>
      <c r="CK56" s="74">
        <f t="shared" si="110"/>
        <v>0.7</v>
      </c>
      <c r="CL56" s="79">
        <v>0</v>
      </c>
      <c r="CM56" s="79">
        <v>2</v>
      </c>
      <c r="CN56" s="86">
        <v>2</v>
      </c>
      <c r="CO56" s="81">
        <v>12</v>
      </c>
      <c r="CP56" s="120"/>
      <c r="CQ56" s="121"/>
      <c r="CR56" s="121"/>
      <c r="CS56" s="116">
        <v>23</v>
      </c>
      <c r="CT56" s="116">
        <v>19</v>
      </c>
      <c r="CU56" s="74">
        <f t="shared" si="111"/>
        <v>0.82608695652173914</v>
      </c>
      <c r="CV56" s="79">
        <v>18</v>
      </c>
      <c r="CW56" s="79">
        <v>18</v>
      </c>
      <c r="CX56" s="88">
        <v>36</v>
      </c>
      <c r="CY56" s="81">
        <v>216</v>
      </c>
      <c r="CZ56" s="122"/>
      <c r="DA56" s="108"/>
      <c r="DB56" s="108"/>
      <c r="DC56" s="114">
        <v>16</v>
      </c>
      <c r="DD56" s="114">
        <v>16</v>
      </c>
      <c r="DE56" s="74">
        <f t="shared" si="112"/>
        <v>1</v>
      </c>
      <c r="DF56" s="79">
        <v>20</v>
      </c>
      <c r="DG56" s="79">
        <v>16</v>
      </c>
      <c r="DH56" s="79">
        <v>36</v>
      </c>
      <c r="DI56" s="81">
        <v>216</v>
      </c>
      <c r="DJ56" s="120"/>
      <c r="DK56" s="121"/>
      <c r="DL56" s="121"/>
      <c r="DM56" s="116">
        <v>15</v>
      </c>
      <c r="DN56" s="116">
        <v>11</v>
      </c>
      <c r="DO56" s="74">
        <f t="shared" si="113"/>
        <v>0.73333333333333328</v>
      </c>
      <c r="DP56" s="79">
        <v>20</v>
      </c>
      <c r="DQ56" s="79">
        <v>2</v>
      </c>
      <c r="DR56" s="79">
        <v>22</v>
      </c>
      <c r="DS56" s="81">
        <v>132</v>
      </c>
      <c r="DT56" s="122"/>
      <c r="DU56" s="108"/>
      <c r="DV56" s="108"/>
      <c r="DW56" s="114">
        <v>18</v>
      </c>
      <c r="DX56" s="114">
        <v>18</v>
      </c>
      <c r="DY56" s="74">
        <f t="shared" si="114"/>
        <v>1</v>
      </c>
      <c r="DZ56" s="90">
        <v>18</v>
      </c>
      <c r="EA56" s="90">
        <v>0</v>
      </c>
      <c r="EB56" s="90">
        <v>18</v>
      </c>
      <c r="EC56" s="91">
        <v>108</v>
      </c>
      <c r="ED56" s="120"/>
      <c r="EE56" s="121"/>
      <c r="EF56" s="121"/>
      <c r="EG56" s="116">
        <v>19</v>
      </c>
      <c r="EH56" s="116">
        <v>19</v>
      </c>
      <c r="EI56" s="74">
        <f t="shared" si="105"/>
        <v>1</v>
      </c>
      <c r="EJ56" s="92">
        <v>18</v>
      </c>
      <c r="EK56" s="92">
        <v>20</v>
      </c>
      <c r="EL56" s="92">
        <v>38</v>
      </c>
      <c r="EM56" s="93">
        <v>228</v>
      </c>
      <c r="EN56" s="122"/>
      <c r="EO56" s="108"/>
      <c r="EP56" s="108"/>
      <c r="EQ56" s="114"/>
      <c r="ER56" s="114"/>
      <c r="ES56" s="74" t="str">
        <f t="shared" si="106"/>
        <v xml:space="preserve"> </v>
      </c>
      <c r="ET56" s="94">
        <v>19</v>
      </c>
      <c r="EU56" s="90"/>
      <c r="EV56" s="94">
        <v>19</v>
      </c>
      <c r="EW56" s="95">
        <v>114</v>
      </c>
      <c r="EX56" s="120"/>
      <c r="EY56" s="121"/>
      <c r="EZ56" s="121"/>
      <c r="FA56" s="116"/>
      <c r="FB56" s="116"/>
      <c r="FC56" s="74" t="str">
        <f t="shared" si="115"/>
        <v xml:space="preserve"> </v>
      </c>
      <c r="FD56" s="123"/>
      <c r="FE56" s="123"/>
      <c r="FF56" s="123"/>
      <c r="FG56" s="123"/>
      <c r="FH56" s="76">
        <f t="shared" si="116"/>
        <v>0</v>
      </c>
      <c r="FI56" s="122"/>
      <c r="FJ56" s="108"/>
      <c r="FK56" s="108"/>
      <c r="FL56" s="114"/>
      <c r="FM56" s="114"/>
      <c r="FN56" s="74" t="str">
        <f t="shared" si="117"/>
        <v xml:space="preserve"> </v>
      </c>
      <c r="FO56" s="90"/>
      <c r="FP56" s="90"/>
      <c r="FQ56" s="90"/>
      <c r="FR56" s="90"/>
      <c r="FS56" s="76">
        <f t="shared" si="118"/>
        <v>0</v>
      </c>
      <c r="FT56" s="120"/>
      <c r="FU56" s="121"/>
      <c r="FV56" s="121"/>
      <c r="FW56" s="116"/>
      <c r="FX56" s="116"/>
      <c r="FY56" s="74" t="str">
        <f t="shared" si="119"/>
        <v xml:space="preserve"> </v>
      </c>
      <c r="FZ56" s="123"/>
      <c r="GA56" s="123"/>
      <c r="GB56" s="123"/>
      <c r="GC56" s="123"/>
      <c r="GD56" s="76">
        <f t="shared" si="120"/>
        <v>0</v>
      </c>
      <c r="GE56" s="153"/>
      <c r="GF56" s="96">
        <v>16.75</v>
      </c>
      <c r="GG56" s="96" t="s">
        <v>236</v>
      </c>
      <c r="GH56" s="79"/>
      <c r="GI56" s="63">
        <v>2</v>
      </c>
      <c r="GJ56" s="63">
        <v>2</v>
      </c>
      <c r="GK56" s="97">
        <f t="shared" si="84"/>
        <v>4</v>
      </c>
      <c r="GL56" s="63">
        <v>0</v>
      </c>
      <c r="GM56" s="79"/>
      <c r="GN56" s="97">
        <f t="shared" si="121"/>
        <v>0</v>
      </c>
      <c r="GO56" s="97">
        <f t="shared" si="122"/>
        <v>20.75</v>
      </c>
      <c r="GP56" s="130"/>
      <c r="GQ56" s="96" t="s">
        <v>213</v>
      </c>
      <c r="GR56" s="96" t="s">
        <v>213</v>
      </c>
      <c r="GS56" s="96" t="s">
        <v>213</v>
      </c>
      <c r="GT56" s="96" t="s">
        <v>213</v>
      </c>
      <c r="GU56" s="96" t="s">
        <v>213</v>
      </c>
      <c r="GV56" s="96" t="s">
        <v>323</v>
      </c>
      <c r="GW56" s="96" t="s">
        <v>213</v>
      </c>
      <c r="GX56" s="96" t="s">
        <v>213</v>
      </c>
      <c r="GY56" s="65" t="str">
        <f>IFERROR(IF(IN56&gt;0,"X",""),"")</f>
        <v>X</v>
      </c>
      <c r="GZ56" s="65" t="str">
        <f>IFERROR(IF(JC56&gt;0,"X",""),"")</f>
        <v>X</v>
      </c>
      <c r="HA56" s="100" t="s">
        <v>213</v>
      </c>
      <c r="HB56" s="100" t="s">
        <v>237</v>
      </c>
      <c r="HC56" s="100">
        <v>0</v>
      </c>
      <c r="HD56" s="100">
        <v>0</v>
      </c>
      <c r="HE56" s="100">
        <v>0</v>
      </c>
      <c r="HF56" s="100">
        <v>0</v>
      </c>
      <c r="HG56" s="100" t="s">
        <v>213</v>
      </c>
      <c r="HH56" s="100">
        <v>0</v>
      </c>
      <c r="HI56" s="100">
        <v>0</v>
      </c>
      <c r="HJ56" s="100">
        <v>0</v>
      </c>
      <c r="HK56" s="100">
        <v>0</v>
      </c>
      <c r="HL56" s="65" t="str">
        <f>IFERROR(IF(OR(IQ56&gt;0,IR56&gt;0,IS56&gt;0),"x",""),"")</f>
        <v>x</v>
      </c>
      <c r="HM56" s="65" t="str">
        <f t="shared" si="124"/>
        <v/>
      </c>
      <c r="HN56" s="65" t="s">
        <v>239</v>
      </c>
      <c r="HO56" s="65" t="str">
        <f>IFERROR(IF(OR(JE56&gt;0,JF56&gt;0,JG56&gt;0,JH56&gt;0),"x",""),"")</f>
        <v>x</v>
      </c>
      <c r="HP56" s="65" t="str">
        <f t="shared" si="130"/>
        <v>x</v>
      </c>
      <c r="HQ56" s="65" t="s">
        <v>239</v>
      </c>
      <c r="HR56" s="96"/>
      <c r="HS56" s="96" t="s">
        <v>213</v>
      </c>
      <c r="HT56" s="96"/>
      <c r="HU56" s="96" t="s">
        <v>213</v>
      </c>
      <c r="HV56" s="96"/>
      <c r="HW56" s="96"/>
      <c r="HX56" s="96" t="s">
        <v>213</v>
      </c>
      <c r="HY56" s="96"/>
      <c r="HZ56" s="96"/>
      <c r="IA56" s="96" t="s">
        <v>213</v>
      </c>
      <c r="IB56" s="96"/>
      <c r="IC56" s="96" t="s">
        <v>213</v>
      </c>
      <c r="ID56" s="63" t="s">
        <v>240</v>
      </c>
      <c r="IE56" s="100" t="s">
        <v>213</v>
      </c>
      <c r="IF56" s="100" t="s">
        <v>213</v>
      </c>
      <c r="IG56" s="100" t="s">
        <v>213</v>
      </c>
      <c r="IH56" s="100" t="s">
        <v>213</v>
      </c>
      <c r="II56" s="100" t="s">
        <v>213</v>
      </c>
      <c r="IJ56" s="100" t="s">
        <v>213</v>
      </c>
      <c r="IK56" s="100" t="s">
        <v>213</v>
      </c>
      <c r="IL56" s="100">
        <v>0</v>
      </c>
      <c r="IM56" s="111"/>
      <c r="IN56" s="125">
        <v>5.6</v>
      </c>
      <c r="IO56" s="125"/>
      <c r="IP56" s="96"/>
      <c r="IQ56" s="96">
        <v>4.4000000000000004</v>
      </c>
      <c r="IR56" s="96"/>
      <c r="IS56" s="96"/>
      <c r="IT56" s="96"/>
      <c r="IU56" s="96"/>
      <c r="IV56" s="96"/>
      <c r="IW56" s="96"/>
      <c r="IX56" s="96"/>
      <c r="IY56" s="96"/>
      <c r="IZ56" s="96"/>
      <c r="JA56" s="65">
        <f t="shared" si="107"/>
        <v>1</v>
      </c>
      <c r="JB56" s="96"/>
      <c r="JC56" s="125">
        <v>4.5</v>
      </c>
      <c r="JD56" s="125"/>
      <c r="JE56" s="96"/>
      <c r="JF56" s="96">
        <v>5.2</v>
      </c>
      <c r="JG56" s="96"/>
      <c r="JH56" s="96"/>
      <c r="JI56" s="96"/>
      <c r="JJ56" s="96">
        <v>6</v>
      </c>
      <c r="JK56" s="96"/>
      <c r="JL56" s="96"/>
      <c r="JM56" s="96"/>
      <c r="JN56" s="96"/>
      <c r="JO56" s="63"/>
      <c r="JP56" s="65">
        <f t="shared" si="133"/>
        <v>2</v>
      </c>
      <c r="JQ56" s="96"/>
      <c r="LM56" s="205"/>
      <c r="LN56" s="102">
        <f>IFERROR(ROWS($IL$8:IL56)," ")</f>
        <v>49</v>
      </c>
      <c r="LO56" s="103" t="str">
        <f>IFERROR(IF([1]Checklist!$C$3='GenInfo (2)'!E56,'GenInfo (2)'!LN56," ")," ")</f>
        <v xml:space="preserve"> </v>
      </c>
      <c r="LP56" s="104" t="str">
        <f>IFERROR(SMALL($LO$8:$LO$94,ROWS($IL$8:IL56))," ")</f>
        <v xml:space="preserve"> </v>
      </c>
      <c r="LQ56" s="102">
        <f>IFERROR(ROWS($IL$8:IL56)," ")</f>
        <v>49</v>
      </c>
      <c r="LR56" s="103" t="str">
        <f>IFERROR(IF([1]Checklist!$C$4='GenInfo (2)'!E56,'GenInfo (2)'!LQ56," ")," ")</f>
        <v xml:space="preserve"> </v>
      </c>
      <c r="LS56" s="104" t="str">
        <f>IFERROR(SMALL($LR$8:$LR$94,ROWS($IL$8:IL56))," ")</f>
        <v xml:space="preserve"> </v>
      </c>
      <c r="LT56" s="102">
        <f>IFERROR(ROWS($IL$8:IL56)," ")</f>
        <v>49</v>
      </c>
      <c r="LU56" s="103" t="str">
        <f>IFERROR(IF([1]Checklist!$C$5='GenInfo (2)'!E56,'GenInfo (2)'!LT56," ")," ")</f>
        <v xml:space="preserve"> </v>
      </c>
      <c r="LV56" s="104" t="str">
        <f>IFERROR(SMALL($LU$8:$LU$94,ROWS($IL$8:IL56))," ")</f>
        <v xml:space="preserve"> </v>
      </c>
      <c r="LW56" s="102">
        <f>IFERROR(ROWS($IL$8:IL56)," ")</f>
        <v>49</v>
      </c>
      <c r="LX56" s="103" t="str">
        <f>IFERROR(IF([1]Checklist!$C$6='GenInfo (2)'!E56,'GenInfo (2)'!LW56," ")," ")</f>
        <v xml:space="preserve"> </v>
      </c>
      <c r="LY56" s="104" t="str">
        <f>IFERROR(SMALL($LX$8:$LX$94,ROWS($IL$8:IL56))," ")</f>
        <v xml:space="preserve"> </v>
      </c>
      <c r="LZ56" s="102">
        <f>IFERROR(ROWS($IL$8:IL56)," ")</f>
        <v>49</v>
      </c>
      <c r="MA56" s="103" t="str">
        <f>IFERROR(IF([1]Checklist!$C$7='GenInfo (2)'!E56,'GenInfo (2)'!LZ56," ")," ")</f>
        <v xml:space="preserve"> </v>
      </c>
      <c r="MB56" s="104" t="str">
        <f>IFERROR(SMALL($MA$8:$MA$94,ROWS($IL$8:IL56))," ")</f>
        <v xml:space="preserve"> </v>
      </c>
      <c r="MC56" s="102">
        <f>IFERROR(ROWS($IL$8:IL56)," ")</f>
        <v>49</v>
      </c>
      <c r="MD56" s="103" t="str">
        <f>IFERROR(IF([1]Checklist!$C$8='GenInfo (2)'!E56,'GenInfo (2)'!MC56," ")," ")</f>
        <v xml:space="preserve"> </v>
      </c>
      <c r="ME56" s="104" t="str">
        <f>IFERROR(SMALL($MD$8:$MD$94,ROWS($IL$8:IL56))," ")</f>
        <v xml:space="preserve"> </v>
      </c>
      <c r="MF56" s="102">
        <f>IFERROR(ROWS($IL$8:IL56)," ")</f>
        <v>49</v>
      </c>
      <c r="MG56" s="103" t="str">
        <f>IFERROR(IF([1]Checklist!$C$9='GenInfo (2)'!E56,'GenInfo (2)'!MF56," ")," ")</f>
        <v xml:space="preserve"> </v>
      </c>
      <c r="MH56" s="104" t="str">
        <f>IFERROR(SMALL($MG$8:$MG$94,ROWS($IL$8:IL56))," ")</f>
        <v xml:space="preserve"> </v>
      </c>
      <c r="MI56" s="102">
        <f>IFERROR(ROWS($IL$8:$IL56)," ")</f>
        <v>49</v>
      </c>
      <c r="MJ56" s="103" t="str">
        <f>IFERROR(IF([1]Checklist!$C$10='GenInfo (2)'!E56,'GenInfo (2)'!MI56," ")," ")</f>
        <v xml:space="preserve"> </v>
      </c>
      <c r="MK56" s="104" t="str">
        <f>IFERROR(SMALL($MJ$8:$MJ$94,ROWS($IL$8:IL56))," ")</f>
        <v xml:space="preserve"> </v>
      </c>
      <c r="ML56" s="102">
        <f>IFERROR(ROWS($IL$8:IL56)," ")</f>
        <v>49</v>
      </c>
      <c r="MM56" s="103" t="str">
        <f>IFERROR(IF([1]Checklist!$C$11='GenInfo (2)'!E56,'GenInfo (2)'!ML56," ")," ")</f>
        <v xml:space="preserve"> </v>
      </c>
      <c r="MN56" s="104" t="str">
        <f>IFERROR(SMALL($MM$8:$MM$94,ROWS($IL$8:IL56))," ")</f>
        <v xml:space="preserve"> </v>
      </c>
      <c r="MO56" s="102">
        <f>IFERROR(ROWS($IL$8:IL56)," ")</f>
        <v>49</v>
      </c>
      <c r="MP56" s="103" t="str">
        <f>IFERROR(IF([1]Checklist!$C$12='GenInfo (2)'!E56,'GenInfo (2)'!MO56," ")," ")</f>
        <v xml:space="preserve"> </v>
      </c>
      <c r="MQ56" s="104" t="str">
        <f>IFERROR(SMALL($MP$8:$MP$94,ROWS($IL$8:IL56))," ")</f>
        <v xml:space="preserve"> </v>
      </c>
      <c r="MR56" s="102">
        <f>IFERROR(ROWS($IL$8:IL56)," ")</f>
        <v>49</v>
      </c>
      <c r="MS56" s="103" t="str">
        <f>IFERROR(IF([1]Checklist!$C$13='GenInfo (2)'!E56,'GenInfo (2)'!MR56," ")," ")</f>
        <v xml:space="preserve"> </v>
      </c>
      <c r="MT56" s="104" t="str">
        <f>IFERROR(SMALL($MS$8:$MS$94,ROWS($IL$8:IL56))," ")</f>
        <v xml:space="preserve"> </v>
      </c>
      <c r="MU56" s="102">
        <f>IFERROR(ROWS($IL$8:IL56)," ")</f>
        <v>49</v>
      </c>
      <c r="MV56" s="103" t="str">
        <f>IFERROR(IF([1]Checklist!$C$14='GenInfo (2)'!E56,'GenInfo (2)'!MU56," ")," ")</f>
        <v xml:space="preserve"> </v>
      </c>
      <c r="MW56" s="104" t="str">
        <f>IFERROR(SMALL($MV$8:$MV$94,ROWS($IL$8:IL56))," ")</f>
        <v xml:space="preserve"> </v>
      </c>
      <c r="MX56" s="102">
        <f>IFERROR(ROWS($IL$8:IL56)," ")</f>
        <v>49</v>
      </c>
      <c r="MY56" s="103" t="str">
        <f>IFERROR(IF([1]Checklist!$C$15='GenInfo (2)'!E56,'GenInfo (2)'!MX56," ")," ")</f>
        <v xml:space="preserve"> </v>
      </c>
      <c r="MZ56" s="104" t="str">
        <f>IFERROR(SMALL($MY$8:$MY$94,ROWS($IL$8:IL56))," ")</f>
        <v xml:space="preserve"> </v>
      </c>
      <c r="NA56" s="102">
        <f>IFERROR(ROWS($IL$8:IL56)," ")</f>
        <v>49</v>
      </c>
      <c r="NB56" s="103" t="str">
        <f>IFERROR(IF([1]Checklist!$C$16='GenInfo (2)'!E56,'GenInfo (2)'!NA56," ")," ")</f>
        <v xml:space="preserve"> </v>
      </c>
      <c r="NC56" s="104" t="str">
        <f>IFERROR(SMALL($NB$8:$NB$94,ROWS($IL$8:IL56))," ")</f>
        <v xml:space="preserve"> </v>
      </c>
      <c r="ND56" s="102">
        <f>IFERROR(ROWS($IL$8:IL56)," ")</f>
        <v>49</v>
      </c>
      <c r="NE56" s="103">
        <f>IFERROR(IF([1]Checklist!$C$17='GenInfo (2)'!E56,'GenInfo (2)'!ND56," ")," ")</f>
        <v>49</v>
      </c>
      <c r="NF56" s="104" t="str">
        <f>IFERROR(SMALL($NE$8:$NE$94,ROWS($IL$8:IL56))," ")</f>
        <v xml:space="preserve"> </v>
      </c>
    </row>
    <row r="57" spans="1:370" ht="15" customHeight="1" x14ac:dyDescent="0.45">
      <c r="A57" s="37" t="s">
        <v>213</v>
      </c>
      <c r="B57" s="37">
        <v>284</v>
      </c>
      <c r="C57" s="146" t="s">
        <v>713</v>
      </c>
      <c r="D57" t="s">
        <v>714</v>
      </c>
      <c r="E57" s="64" t="s">
        <v>682</v>
      </c>
      <c r="F57" s="63">
        <v>55856685</v>
      </c>
      <c r="G57" s="161" t="s">
        <v>530</v>
      </c>
      <c r="H57" s="63"/>
      <c r="I57" s="137" t="s">
        <v>715</v>
      </c>
      <c r="J57" s="63" t="s">
        <v>716</v>
      </c>
      <c r="K57" s="62"/>
      <c r="L57" s="67">
        <v>43902</v>
      </c>
      <c r="M57" s="67">
        <v>43902</v>
      </c>
      <c r="N57" s="67" t="s">
        <v>213</v>
      </c>
      <c r="O57" s="68">
        <v>43891</v>
      </c>
      <c r="P57" s="67"/>
      <c r="Q57" s="67"/>
      <c r="R57" s="63"/>
      <c r="S57" s="67"/>
      <c r="T57" s="63"/>
      <c r="U57" s="62"/>
      <c r="V57" s="63"/>
      <c r="W57" s="63"/>
      <c r="X57" s="69"/>
      <c r="Y57" s="63"/>
      <c r="Z57" s="69"/>
      <c r="AA57" s="62"/>
      <c r="AB57" s="63" t="s">
        <v>717</v>
      </c>
      <c r="AC57" s="63" t="s">
        <v>559</v>
      </c>
      <c r="AD57" s="63"/>
      <c r="AE57" s="63" t="s">
        <v>418</v>
      </c>
      <c r="AF57" s="63"/>
      <c r="AG57" s="63"/>
      <c r="AH57" s="63"/>
      <c r="AI57" s="63"/>
      <c r="AJ57" s="63"/>
      <c r="AK57" s="62"/>
      <c r="AL57" s="71" t="str">
        <f t="shared" si="95"/>
        <v/>
      </c>
      <c r="AM57" s="71">
        <v>16</v>
      </c>
      <c r="AN57" s="67">
        <v>37716</v>
      </c>
      <c r="AO57" s="72">
        <f t="shared" ca="1" si="97"/>
        <v>26</v>
      </c>
      <c r="AP57" s="63" t="s">
        <v>231</v>
      </c>
      <c r="AQ57" s="73" t="s">
        <v>252</v>
      </c>
      <c r="AR57" s="70" t="s">
        <v>233</v>
      </c>
      <c r="AS57" s="63">
        <v>1</v>
      </c>
      <c r="AT57" s="63">
        <v>0</v>
      </c>
      <c r="AU57" s="63" t="s">
        <v>265</v>
      </c>
      <c r="AV57" s="63" t="s">
        <v>265</v>
      </c>
      <c r="AW57" s="63" t="s">
        <v>265</v>
      </c>
      <c r="AX57" s="63" t="s">
        <v>253</v>
      </c>
      <c r="AY57" s="63" t="s">
        <v>265</v>
      </c>
      <c r="AZ57" s="63" t="s">
        <v>235</v>
      </c>
      <c r="BA57" s="63" t="s">
        <v>235</v>
      </c>
      <c r="BB57" s="63"/>
      <c r="BC57" s="63"/>
      <c r="BD57" s="62"/>
      <c r="BE57" s="71">
        <f t="shared" si="135"/>
        <v>0</v>
      </c>
      <c r="BF57" s="71">
        <f t="shared" si="135"/>
        <v>0</v>
      </c>
      <c r="BG57" s="71">
        <f t="shared" si="99"/>
        <v>0</v>
      </c>
      <c r="BH57" s="74" t="str">
        <f t="shared" si="100"/>
        <v xml:space="preserve"> </v>
      </c>
      <c r="BI57" s="75" t="str">
        <f t="shared" si="101"/>
        <v xml:space="preserve"> </v>
      </c>
      <c r="BJ57" s="71">
        <f t="shared" si="102"/>
        <v>0</v>
      </c>
      <c r="BK57" s="75" t="str">
        <f t="shared" si="103"/>
        <v xml:space="preserve"> </v>
      </c>
      <c r="BL57" s="76">
        <f t="shared" si="136"/>
        <v>0</v>
      </c>
      <c r="BM57" s="77">
        <f t="shared" si="136"/>
        <v>0</v>
      </c>
      <c r="BN57" s="78"/>
      <c r="BO57" s="67"/>
      <c r="BP57" s="67"/>
      <c r="BQ57" s="63"/>
      <c r="BR57" s="63"/>
      <c r="BS57" s="74" t="str">
        <f t="shared" si="108"/>
        <v xml:space="preserve"> </v>
      </c>
      <c r="BT57" s="79" t="s">
        <v>221</v>
      </c>
      <c r="BU57" s="79" t="s">
        <v>221</v>
      </c>
      <c r="BV57" s="80">
        <v>0</v>
      </c>
      <c r="BW57" s="81">
        <v>0</v>
      </c>
      <c r="BX57" s="82"/>
      <c r="BY57" s="83"/>
      <c r="BZ57" s="83"/>
      <c r="CA57" s="84"/>
      <c r="CB57" s="84"/>
      <c r="CC57" s="74" t="str">
        <f t="shared" si="109"/>
        <v xml:space="preserve"> </v>
      </c>
      <c r="CD57" s="79" t="s">
        <v>221</v>
      </c>
      <c r="CE57" s="81">
        <v>0</v>
      </c>
      <c r="CF57" s="85"/>
      <c r="CG57" s="85"/>
      <c r="CH57" s="85"/>
      <c r="CI57" s="78"/>
      <c r="CJ57" s="78"/>
      <c r="CK57" s="74" t="str">
        <f t="shared" si="110"/>
        <v xml:space="preserve"> </v>
      </c>
      <c r="CL57" s="79" t="s">
        <v>221</v>
      </c>
      <c r="CM57" s="79" t="s">
        <v>221</v>
      </c>
      <c r="CN57" s="86" t="s">
        <v>221</v>
      </c>
      <c r="CO57" s="81">
        <v>0</v>
      </c>
      <c r="CP57" s="87"/>
      <c r="CQ57" s="83"/>
      <c r="CR57" s="83"/>
      <c r="CS57" s="82"/>
      <c r="CT57" s="82"/>
      <c r="CU57" s="74" t="str">
        <f t="shared" si="111"/>
        <v xml:space="preserve"> </v>
      </c>
      <c r="CV57" s="79" t="s">
        <v>221</v>
      </c>
      <c r="CW57" s="79" t="s">
        <v>221</v>
      </c>
      <c r="CX57" s="88" t="s">
        <v>221</v>
      </c>
      <c r="CY57" s="81">
        <v>0</v>
      </c>
      <c r="CZ57" s="89"/>
      <c r="DA57" s="67"/>
      <c r="DB57" s="67"/>
      <c r="DC57" s="78"/>
      <c r="DD57" s="78"/>
      <c r="DE57" s="74" t="str">
        <f t="shared" si="112"/>
        <v xml:space="preserve"> </v>
      </c>
      <c r="DF57" s="79" t="s">
        <v>221</v>
      </c>
      <c r="DG57" s="79" t="s">
        <v>221</v>
      </c>
      <c r="DH57" s="79" t="s">
        <v>221</v>
      </c>
      <c r="DI57" s="81">
        <v>0</v>
      </c>
      <c r="DJ57" s="87"/>
      <c r="DK57" s="83"/>
      <c r="DL57" s="83"/>
      <c r="DM57" s="82"/>
      <c r="DN57" s="82"/>
      <c r="DO57" s="74" t="str">
        <f t="shared" si="113"/>
        <v xml:space="preserve"> </v>
      </c>
      <c r="DP57" s="79" t="s">
        <v>221</v>
      </c>
      <c r="DQ57" s="79" t="s">
        <v>221</v>
      </c>
      <c r="DR57" s="79" t="s">
        <v>221</v>
      </c>
      <c r="DS57" s="81">
        <v>0</v>
      </c>
      <c r="DT57" s="89"/>
      <c r="DU57" s="67"/>
      <c r="DV57" s="67"/>
      <c r="DW57" s="78"/>
      <c r="DX57" s="78"/>
      <c r="DY57" s="74" t="str">
        <f t="shared" si="114"/>
        <v xml:space="preserve"> </v>
      </c>
      <c r="DZ57" s="90">
        <v>0</v>
      </c>
      <c r="EA57" s="90">
        <v>0</v>
      </c>
      <c r="EB57" s="90">
        <v>0</v>
      </c>
      <c r="EC57" s="91">
        <v>0</v>
      </c>
      <c r="ED57" s="87"/>
      <c r="EE57" s="83"/>
      <c r="EF57" s="83"/>
      <c r="EG57" s="82"/>
      <c r="EH57" s="82"/>
      <c r="EI57" s="74" t="str">
        <f t="shared" si="105"/>
        <v xml:space="preserve"> </v>
      </c>
      <c r="EJ57" s="92"/>
      <c r="EK57" s="92"/>
      <c r="EL57" s="92"/>
      <c r="EM57" s="92"/>
      <c r="EN57" s="89"/>
      <c r="EO57" s="67"/>
      <c r="EP57" s="67"/>
      <c r="EQ57" s="78"/>
      <c r="ER57" s="78"/>
      <c r="ES57" s="74" t="str">
        <f t="shared" si="106"/>
        <v xml:space="preserve"> </v>
      </c>
      <c r="ET57" s="94">
        <v>0</v>
      </c>
      <c r="EU57" s="94"/>
      <c r="EV57" s="94">
        <v>0</v>
      </c>
      <c r="EW57" s="95">
        <v>0</v>
      </c>
      <c r="EX57" s="87"/>
      <c r="EY57" s="83"/>
      <c r="EZ57" s="83"/>
      <c r="FA57" s="82"/>
      <c r="FB57" s="82"/>
      <c r="FC57" s="74" t="str">
        <f t="shared" si="115"/>
        <v xml:space="preserve"> </v>
      </c>
      <c r="FD57" s="92"/>
      <c r="FE57" s="92"/>
      <c r="FF57" s="92"/>
      <c r="FG57" s="92"/>
      <c r="FH57" s="76">
        <f t="shared" si="116"/>
        <v>0</v>
      </c>
      <c r="FI57" s="89"/>
      <c r="FJ57" s="67"/>
      <c r="FK57" s="67"/>
      <c r="FL57" s="78"/>
      <c r="FM57" s="78"/>
      <c r="FN57" s="74" t="str">
        <f t="shared" si="117"/>
        <v xml:space="preserve"> </v>
      </c>
      <c r="FO57" s="94"/>
      <c r="FP57" s="94"/>
      <c r="FQ57" s="94"/>
      <c r="FR57" s="94"/>
      <c r="FS57" s="76">
        <f t="shared" si="118"/>
        <v>0</v>
      </c>
      <c r="FT57" s="87"/>
      <c r="FU57" s="83"/>
      <c r="FV57" s="83"/>
      <c r="FW57" s="82"/>
      <c r="FX57" s="82"/>
      <c r="FY57" s="74" t="str">
        <f t="shared" si="119"/>
        <v xml:space="preserve"> </v>
      </c>
      <c r="FZ57" s="92"/>
      <c r="GA57" s="92"/>
      <c r="GB57" s="92"/>
      <c r="GC57" s="92"/>
      <c r="GD57" s="76">
        <f t="shared" si="120"/>
        <v>0</v>
      </c>
      <c r="GE57" s="62"/>
      <c r="GF57" s="96" t="s">
        <v>221</v>
      </c>
      <c r="GG57" s="96" t="s">
        <v>221</v>
      </c>
      <c r="GH57" s="63"/>
      <c r="GI57" s="63" t="s">
        <v>221</v>
      </c>
      <c r="GJ57" s="63" t="s">
        <v>221</v>
      </c>
      <c r="GK57" s="97">
        <f t="shared" si="84"/>
        <v>0</v>
      </c>
      <c r="GL57" s="63" t="s">
        <v>221</v>
      </c>
      <c r="GM57" s="98"/>
      <c r="GN57" s="97">
        <f t="shared" si="121"/>
        <v>0</v>
      </c>
      <c r="GO57" s="97" t="str">
        <f t="shared" si="122"/>
        <v xml:space="preserve"> </v>
      </c>
      <c r="GP57" s="62"/>
      <c r="GQ57" s="63" t="s">
        <v>213</v>
      </c>
      <c r="GR57" s="63" t="s">
        <v>237</v>
      </c>
      <c r="GS57" s="63" t="s">
        <v>213</v>
      </c>
      <c r="GT57" s="63" t="s">
        <v>213</v>
      </c>
      <c r="GU57" s="63" t="s">
        <v>213</v>
      </c>
      <c r="GV57" s="63" t="s">
        <v>237</v>
      </c>
      <c r="GW57" s="63" t="s">
        <v>237</v>
      </c>
      <c r="GX57" s="63" t="s">
        <v>334</v>
      </c>
      <c r="GY57" s="65" t="s">
        <v>237</v>
      </c>
      <c r="GZ57" s="65" t="s">
        <v>237</v>
      </c>
      <c r="HA57" s="63" t="s">
        <v>213</v>
      </c>
      <c r="HB57" s="63" t="s">
        <v>237</v>
      </c>
      <c r="HC57" s="63"/>
      <c r="HD57" s="63"/>
      <c r="HE57" s="63"/>
      <c r="HF57" s="63"/>
      <c r="HG57" s="63" t="s">
        <v>237</v>
      </c>
      <c r="HH57" s="63"/>
      <c r="HI57" s="63"/>
      <c r="HJ57" s="63"/>
      <c r="HK57" s="63"/>
      <c r="HL57" s="65" t="str">
        <f>IFERROR(IF(OR(IQ57&gt;0,IR57&gt;0,IS57&gt;0),"x",""),"")</f>
        <v/>
      </c>
      <c r="HM57" s="65" t="str">
        <f t="shared" si="124"/>
        <v/>
      </c>
      <c r="HN57" s="65" t="str">
        <f>IFERROR(IF(OR(IW57&gt;0,IX57&gt;0,IY57&gt;0,IZ57&gt;0),"x",""),"")</f>
        <v/>
      </c>
      <c r="HO57" s="65" t="str">
        <f>IFERROR(IF(OR(JE57&gt;0,JF57&gt;0,JG57&gt;0,JH57&gt;0),"x",""),"")</f>
        <v/>
      </c>
      <c r="HP57" s="99" t="str">
        <f t="shared" si="130"/>
        <v/>
      </c>
      <c r="HQ57" s="99" t="str">
        <f>IFERROR(IF(OR(JL57&gt;0,JM57&gt;0,JN57&gt;0,JO57&gt;0),"x",""),"")</f>
        <v/>
      </c>
      <c r="HR57" s="63"/>
      <c r="HS57" s="63"/>
      <c r="HT57" s="63"/>
      <c r="HU57" s="63"/>
      <c r="HV57" s="63"/>
      <c r="HW57" s="63"/>
      <c r="HX57" s="63"/>
      <c r="HY57" s="63"/>
      <c r="HZ57" s="63"/>
      <c r="IA57" s="63"/>
      <c r="IB57" s="63"/>
      <c r="IC57" s="63" t="s">
        <v>237</v>
      </c>
      <c r="ID57" s="63"/>
      <c r="IE57" s="100"/>
      <c r="IF57" s="100"/>
      <c r="IG57" s="100"/>
      <c r="IH57" s="100"/>
      <c r="II57" s="100"/>
      <c r="IJ57" s="100"/>
      <c r="IK57" s="100"/>
      <c r="IL57" s="63"/>
      <c r="IM57" s="62"/>
      <c r="IN57" s="101"/>
      <c r="IO57" s="101"/>
      <c r="IP57" s="63"/>
      <c r="IQ57" s="63"/>
      <c r="IR57" s="63"/>
      <c r="IS57" s="63"/>
      <c r="IT57" s="63"/>
      <c r="IU57" s="63"/>
      <c r="IV57" s="63"/>
      <c r="IW57" s="63"/>
      <c r="IX57" s="63"/>
      <c r="IY57" s="63"/>
      <c r="IZ57" s="63"/>
      <c r="JA57" s="65">
        <f t="shared" si="107"/>
        <v>0</v>
      </c>
      <c r="JB57" s="63"/>
      <c r="JC57" s="101"/>
      <c r="JD57" s="101"/>
      <c r="JE57" s="63"/>
      <c r="JF57" s="63"/>
      <c r="JG57" s="63"/>
      <c r="JH57" s="63"/>
      <c r="JI57" s="63"/>
      <c r="JJ57" s="63"/>
      <c r="JK57" s="63"/>
      <c r="JL57" s="63"/>
      <c r="JM57" s="63"/>
      <c r="JN57" s="96"/>
      <c r="JO57" s="63"/>
      <c r="JP57" s="65">
        <f t="shared" si="133"/>
        <v>0</v>
      </c>
      <c r="JQ57" s="96"/>
      <c r="LM57" s="205"/>
      <c r="LN57" s="102">
        <f>IFERROR(ROWS($IL$8:IL57)," ")</f>
        <v>50</v>
      </c>
      <c r="LO57" s="103" t="str">
        <f>IFERROR(IF([1]Checklist!$C$3='GenInfo (2)'!E57,'GenInfo (2)'!LN57," ")," ")</f>
        <v xml:space="preserve"> </v>
      </c>
      <c r="LP57" s="104" t="str">
        <f>IFERROR(SMALL($LO$8:$LO$94,ROWS($IL$8:IL57))," ")</f>
        <v xml:space="preserve"> </v>
      </c>
      <c r="LQ57" s="102">
        <f>IFERROR(ROWS($IL$8:IL57)," ")</f>
        <v>50</v>
      </c>
      <c r="LR57" s="103" t="str">
        <f>IFERROR(IF([1]Checklist!$C$4='GenInfo (2)'!E57,'GenInfo (2)'!LQ57," ")," ")</f>
        <v xml:space="preserve"> </v>
      </c>
      <c r="LS57" s="104" t="str">
        <f>IFERROR(SMALL($LR$8:$LR$94,ROWS($IL$8:IL57))," ")</f>
        <v xml:space="preserve"> </v>
      </c>
      <c r="LT57" s="102">
        <f>IFERROR(ROWS($IL$8:IL57)," ")</f>
        <v>50</v>
      </c>
      <c r="LU57" s="103" t="str">
        <f>IFERROR(IF([1]Checklist!$C$5='GenInfo (2)'!E57,'GenInfo (2)'!LT57," ")," ")</f>
        <v xml:space="preserve"> </v>
      </c>
      <c r="LV57" s="104" t="str">
        <f>IFERROR(SMALL($LU$8:$LU$94,ROWS($IL$8:IL57))," ")</f>
        <v xml:space="preserve"> </v>
      </c>
      <c r="LW57" s="102">
        <f>IFERROR(ROWS($IL$8:IL57)," ")</f>
        <v>50</v>
      </c>
      <c r="LX57" s="103" t="str">
        <f>IFERROR(IF([1]Checklist!$C$6='GenInfo (2)'!E57,'GenInfo (2)'!LW57," ")," ")</f>
        <v xml:space="preserve"> </v>
      </c>
      <c r="LY57" s="104" t="str">
        <f>IFERROR(SMALL($LX$8:$LX$94,ROWS($IL$8:IL57))," ")</f>
        <v xml:space="preserve"> </v>
      </c>
      <c r="LZ57" s="102">
        <f>IFERROR(ROWS($IL$8:IL57)," ")</f>
        <v>50</v>
      </c>
      <c r="MA57" s="103" t="str">
        <f>IFERROR(IF([1]Checklist!$C$7='GenInfo (2)'!E57,'GenInfo (2)'!LZ57," ")," ")</f>
        <v xml:space="preserve"> </v>
      </c>
      <c r="MB57" s="104" t="str">
        <f>IFERROR(SMALL($MA$8:$MA$94,ROWS($IL$8:IL57))," ")</f>
        <v xml:space="preserve"> </v>
      </c>
      <c r="MC57" s="102">
        <f>IFERROR(ROWS($IL$8:IL57)," ")</f>
        <v>50</v>
      </c>
      <c r="MD57" s="103" t="str">
        <f>IFERROR(IF([1]Checklist!$C$8='GenInfo (2)'!E57,'GenInfo (2)'!MC57," ")," ")</f>
        <v xml:space="preserve"> </v>
      </c>
      <c r="ME57" s="104" t="str">
        <f>IFERROR(SMALL($MD$8:$MD$94,ROWS($IL$8:IL57))," ")</f>
        <v xml:space="preserve"> </v>
      </c>
      <c r="MF57" s="102">
        <f>IFERROR(ROWS($IL$8:IL57)," ")</f>
        <v>50</v>
      </c>
      <c r="MG57" s="103" t="str">
        <f>IFERROR(IF([1]Checklist!$C$9='GenInfo (2)'!E57,'GenInfo (2)'!MF57," ")," ")</f>
        <v xml:space="preserve"> </v>
      </c>
      <c r="MH57" s="104" t="str">
        <f>IFERROR(SMALL($MG$8:$MG$94,ROWS($IL$8:IL57))," ")</f>
        <v xml:space="preserve"> </v>
      </c>
      <c r="MI57" s="102">
        <f>IFERROR(ROWS($IL$8:$IL57)," ")</f>
        <v>50</v>
      </c>
      <c r="MJ57" s="103" t="str">
        <f>IFERROR(IF([1]Checklist!$C$10='GenInfo (2)'!E57,'GenInfo (2)'!MI57," ")," ")</f>
        <v xml:space="preserve"> </v>
      </c>
      <c r="MK57" s="104" t="str">
        <f>IFERROR(SMALL($MJ$8:$MJ$94,ROWS($IL$8:IL57))," ")</f>
        <v xml:space="preserve"> </v>
      </c>
      <c r="ML57" s="102">
        <f>IFERROR(ROWS($IL$8:IL57)," ")</f>
        <v>50</v>
      </c>
      <c r="MM57" s="103" t="str">
        <f>IFERROR(IF([1]Checklist!$C$11='GenInfo (2)'!E57,'GenInfo (2)'!ML57," ")," ")</f>
        <v xml:space="preserve"> </v>
      </c>
      <c r="MN57" s="104" t="str">
        <f>IFERROR(SMALL($MM$8:$MM$94,ROWS($IL$8:IL57))," ")</f>
        <v xml:space="preserve"> </v>
      </c>
      <c r="MO57" s="102">
        <f>IFERROR(ROWS($IL$8:IL57)," ")</f>
        <v>50</v>
      </c>
      <c r="MP57" s="103" t="str">
        <f>IFERROR(IF([1]Checklist!$C$12='GenInfo (2)'!E57,'GenInfo (2)'!MO57," ")," ")</f>
        <v xml:space="preserve"> </v>
      </c>
      <c r="MQ57" s="104" t="str">
        <f>IFERROR(SMALL($MP$8:$MP$94,ROWS($IL$8:IL57))," ")</f>
        <v xml:space="preserve"> </v>
      </c>
      <c r="MR57" s="102">
        <f>IFERROR(ROWS($IL$8:IL57)," ")</f>
        <v>50</v>
      </c>
      <c r="MS57" s="103" t="str">
        <f>IFERROR(IF([1]Checklist!$C$13='GenInfo (2)'!E57,'GenInfo (2)'!MR57," ")," ")</f>
        <v xml:space="preserve"> </v>
      </c>
      <c r="MT57" s="104" t="str">
        <f>IFERROR(SMALL($MS$8:$MS$94,ROWS($IL$8:IL57))," ")</f>
        <v xml:space="preserve"> </v>
      </c>
      <c r="MU57" s="102">
        <f>IFERROR(ROWS($IL$8:IL57)," ")</f>
        <v>50</v>
      </c>
      <c r="MV57" s="103" t="str">
        <f>IFERROR(IF([1]Checklist!$C$14='GenInfo (2)'!E57,'GenInfo (2)'!MU57," ")," ")</f>
        <v xml:space="preserve"> </v>
      </c>
      <c r="MW57" s="104" t="str">
        <f>IFERROR(SMALL($MV$8:$MV$94,ROWS($IL$8:IL57))," ")</f>
        <v xml:space="preserve"> </v>
      </c>
      <c r="MX57" s="102">
        <f>IFERROR(ROWS($IL$8:IL57)," ")</f>
        <v>50</v>
      </c>
      <c r="MY57" s="103" t="str">
        <f>IFERROR(IF([1]Checklist!$C$15='GenInfo (2)'!E57,'GenInfo (2)'!MX57," ")," ")</f>
        <v xml:space="preserve"> </v>
      </c>
      <c r="MZ57" s="104" t="str">
        <f>IFERROR(SMALL($MY$8:$MY$94,ROWS($IL$8:IL57))," ")</f>
        <v xml:space="preserve"> </v>
      </c>
      <c r="NA57" s="102">
        <f>IFERROR(ROWS($IL$8:IL57)," ")</f>
        <v>50</v>
      </c>
      <c r="NB57" s="103" t="str">
        <f>IFERROR(IF([1]Checklist!$C$16='GenInfo (2)'!E57,'GenInfo (2)'!NA57," ")," ")</f>
        <v xml:space="preserve"> </v>
      </c>
      <c r="NC57" s="104" t="str">
        <f>IFERROR(SMALL($NB$8:$NB$94,ROWS($IL$8:IL57))," ")</f>
        <v xml:space="preserve"> </v>
      </c>
      <c r="ND57" s="102">
        <f>IFERROR(ROWS($IL$8:IL57)," ")</f>
        <v>50</v>
      </c>
      <c r="NE57" s="103">
        <f>IFERROR(IF([1]Checklist!$C$17='GenInfo (2)'!E57,'GenInfo (2)'!ND57," ")," ")</f>
        <v>50</v>
      </c>
      <c r="NF57" s="104" t="str">
        <f>IFERROR(SMALL($NE$8:$NE$94,ROWS($IL$8:IL57))," ")</f>
        <v xml:space="preserve"> </v>
      </c>
    </row>
    <row r="58" spans="1:370" ht="14.25" x14ac:dyDescent="0.45">
      <c r="E58" s="64"/>
      <c r="F58" s="63"/>
      <c r="G58" s="64"/>
      <c r="H58" s="63"/>
      <c r="I58" s="63"/>
      <c r="J58" s="63"/>
      <c r="K58" s="62"/>
      <c r="L58" s="67"/>
      <c r="M58" s="67"/>
      <c r="N58" s="67"/>
      <c r="O58" s="68"/>
      <c r="P58" s="67"/>
      <c r="Q58" s="67"/>
      <c r="R58" s="63"/>
      <c r="S58" s="67"/>
      <c r="T58" s="63"/>
      <c r="U58" s="62"/>
      <c r="V58" s="63"/>
      <c r="W58" s="63"/>
      <c r="X58" s="69"/>
      <c r="Y58" s="63"/>
      <c r="Z58" s="69"/>
      <c r="AA58" s="62"/>
      <c r="AB58" s="63"/>
      <c r="AC58" s="63"/>
      <c r="AD58" s="63"/>
      <c r="AE58" s="63"/>
      <c r="AF58" s="63"/>
      <c r="AG58" s="63"/>
      <c r="AH58" s="63"/>
      <c r="AI58" s="63"/>
      <c r="AJ58" s="63"/>
      <c r="AK58" s="62"/>
      <c r="AL58" s="71">
        <f t="shared" si="95"/>
        <v>0</v>
      </c>
      <c r="AM58" s="71">
        <f t="shared" ref="AM58:AM94" ca="1" si="137">IFERROR(DATEDIF($AN58,TODAY(),"y"),"")</f>
        <v>122</v>
      </c>
      <c r="AN58" s="63"/>
      <c r="AO58" s="72" t="str">
        <f t="shared" ca="1" si="97"/>
        <v/>
      </c>
      <c r="AP58" s="63"/>
      <c r="AQ58" s="73"/>
      <c r="AR58" s="70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2"/>
      <c r="BE58" s="71">
        <f t="shared" si="135"/>
        <v>0</v>
      </c>
      <c r="BF58" s="71">
        <f t="shared" si="135"/>
        <v>0</v>
      </c>
      <c r="BG58" s="71">
        <f t="shared" si="99"/>
        <v>0</v>
      </c>
      <c r="BH58" s="74" t="str">
        <f t="shared" si="100"/>
        <v xml:space="preserve"> </v>
      </c>
      <c r="BI58" s="75" t="str">
        <f t="shared" si="101"/>
        <v xml:space="preserve"> </v>
      </c>
      <c r="BJ58" s="71">
        <f t="shared" si="102"/>
        <v>0</v>
      </c>
      <c r="BK58" s="75" t="str">
        <f t="shared" si="103"/>
        <v xml:space="preserve"> </v>
      </c>
      <c r="BL58" s="76">
        <f t="shared" si="136"/>
        <v>0</v>
      </c>
      <c r="BM58" s="77">
        <f t="shared" si="136"/>
        <v>0</v>
      </c>
      <c r="BN58" s="78"/>
      <c r="BO58" s="67"/>
      <c r="BP58" s="67"/>
      <c r="BQ58" s="63"/>
      <c r="BR58" s="63"/>
      <c r="BS58" s="74" t="str">
        <f t="shared" si="108"/>
        <v xml:space="preserve"> </v>
      </c>
      <c r="BT58" s="79" t="s">
        <v>221</v>
      </c>
      <c r="BU58" s="79" t="s">
        <v>221</v>
      </c>
      <c r="BV58" s="80">
        <v>0</v>
      </c>
      <c r="BW58" s="81">
        <v>0</v>
      </c>
      <c r="BX58" s="82"/>
      <c r="BY58" s="83"/>
      <c r="BZ58" s="83"/>
      <c r="CA58" s="84"/>
      <c r="CB58" s="84"/>
      <c r="CC58" s="74" t="str">
        <f t="shared" si="109"/>
        <v xml:space="preserve"> </v>
      </c>
      <c r="CD58" s="79" t="s">
        <v>221</v>
      </c>
      <c r="CE58" s="81">
        <v>0</v>
      </c>
      <c r="CF58" s="85"/>
      <c r="CG58" s="85"/>
      <c r="CH58" s="85"/>
      <c r="CI58" s="78"/>
      <c r="CJ58" s="78"/>
      <c r="CK58" s="74" t="str">
        <f t="shared" si="110"/>
        <v xml:space="preserve"> </v>
      </c>
      <c r="CL58" s="79" t="s">
        <v>221</v>
      </c>
      <c r="CM58" s="79" t="s">
        <v>221</v>
      </c>
      <c r="CN58" s="86" t="s">
        <v>221</v>
      </c>
      <c r="CO58" s="81">
        <v>0</v>
      </c>
      <c r="CP58" s="87"/>
      <c r="CQ58" s="83"/>
      <c r="CR58" s="83"/>
      <c r="CS58" s="82"/>
      <c r="CT58" s="82"/>
      <c r="CU58" s="74" t="str">
        <f t="shared" si="111"/>
        <v xml:space="preserve"> </v>
      </c>
      <c r="CV58" s="79" t="s">
        <v>221</v>
      </c>
      <c r="CW58" s="79" t="s">
        <v>221</v>
      </c>
      <c r="CX58" s="88" t="s">
        <v>221</v>
      </c>
      <c r="CY58" s="81">
        <v>0</v>
      </c>
      <c r="CZ58" s="89"/>
      <c r="DA58" s="67"/>
      <c r="DB58" s="67"/>
      <c r="DC58" s="78"/>
      <c r="DD58" s="78"/>
      <c r="DE58" s="74" t="str">
        <f t="shared" si="112"/>
        <v xml:space="preserve"> </v>
      </c>
      <c r="DF58" s="79" t="s">
        <v>221</v>
      </c>
      <c r="DG58" s="79" t="s">
        <v>221</v>
      </c>
      <c r="DH58" s="79" t="s">
        <v>221</v>
      </c>
      <c r="DI58" s="81">
        <v>0</v>
      </c>
      <c r="DJ58" s="87"/>
      <c r="DK58" s="83"/>
      <c r="DL58" s="83"/>
      <c r="DM58" s="82"/>
      <c r="DN58" s="82"/>
      <c r="DO58" s="74" t="str">
        <f t="shared" si="113"/>
        <v xml:space="preserve"> </v>
      </c>
      <c r="DP58" s="79" t="s">
        <v>221</v>
      </c>
      <c r="DQ58" s="79" t="s">
        <v>221</v>
      </c>
      <c r="DR58" s="79" t="s">
        <v>221</v>
      </c>
      <c r="DS58" s="81">
        <v>0</v>
      </c>
      <c r="DT58" s="89"/>
      <c r="DU58" s="67"/>
      <c r="DV58" s="67"/>
      <c r="DW58" s="78"/>
      <c r="DX58" s="78"/>
      <c r="DY58" s="74" t="str">
        <f t="shared" si="114"/>
        <v xml:space="preserve"> </v>
      </c>
      <c r="DZ58" s="94"/>
      <c r="EA58" s="94"/>
      <c r="EB58" s="94"/>
      <c r="EC58" s="94"/>
      <c r="ED58" s="87"/>
      <c r="EE58" s="83"/>
      <c r="EF58" s="83"/>
      <c r="EG58" s="82"/>
      <c r="EH58" s="82"/>
      <c r="EI58" s="74" t="str">
        <f t="shared" si="105"/>
        <v xml:space="preserve"> </v>
      </c>
      <c r="EJ58" s="92"/>
      <c r="EK58" s="92"/>
      <c r="EL58" s="92"/>
      <c r="EM58" s="92"/>
      <c r="EN58" s="89"/>
      <c r="EO58" s="67"/>
      <c r="EP58" s="67"/>
      <c r="EQ58" s="78"/>
      <c r="ER58" s="78"/>
      <c r="ES58" s="74" t="str">
        <f t="shared" si="106"/>
        <v xml:space="preserve"> </v>
      </c>
      <c r="ET58" s="94"/>
      <c r="EU58" s="94"/>
      <c r="EV58" s="94">
        <v>0</v>
      </c>
      <c r="EW58" s="76">
        <v>0</v>
      </c>
      <c r="EX58" s="87"/>
      <c r="EY58" s="83"/>
      <c r="EZ58" s="83"/>
      <c r="FA58" s="82"/>
      <c r="FB58" s="82"/>
      <c r="FC58" s="74" t="str">
        <f t="shared" si="115"/>
        <v xml:space="preserve"> </v>
      </c>
      <c r="FD58" s="92"/>
      <c r="FE58" s="92"/>
      <c r="FF58" s="92"/>
      <c r="FG58" s="92"/>
      <c r="FH58" s="76">
        <f t="shared" si="116"/>
        <v>0</v>
      </c>
      <c r="FI58" s="89"/>
      <c r="FJ58" s="67"/>
      <c r="FK58" s="67"/>
      <c r="FL58" s="78"/>
      <c r="FM58" s="78"/>
      <c r="FN58" s="74" t="str">
        <f t="shared" si="117"/>
        <v xml:space="preserve"> </v>
      </c>
      <c r="FO58" s="94"/>
      <c r="FP58" s="94"/>
      <c r="FQ58" s="94"/>
      <c r="FR58" s="94"/>
      <c r="FS58" s="76">
        <f t="shared" si="118"/>
        <v>0</v>
      </c>
      <c r="FT58" s="87"/>
      <c r="FU58" s="83"/>
      <c r="FV58" s="83"/>
      <c r="FW58" s="82"/>
      <c r="FX58" s="82"/>
      <c r="FY58" s="74" t="str">
        <f t="shared" si="119"/>
        <v xml:space="preserve"> </v>
      </c>
      <c r="FZ58" s="92"/>
      <c r="GA58" s="92"/>
      <c r="GB58" s="92"/>
      <c r="GC58" s="92"/>
      <c r="GD58" s="76">
        <f t="shared" si="120"/>
        <v>0</v>
      </c>
      <c r="GE58" s="62"/>
      <c r="GF58" s="96" t="s">
        <v>221</v>
      </c>
      <c r="GG58" s="96" t="s">
        <v>221</v>
      </c>
      <c r="GH58" s="63"/>
      <c r="GI58" s="63"/>
      <c r="GJ58" s="63"/>
      <c r="GK58" s="97">
        <f t="shared" si="84"/>
        <v>0</v>
      </c>
      <c r="GL58" s="98"/>
      <c r="GM58" s="98"/>
      <c r="GN58" s="97">
        <f t="shared" si="121"/>
        <v>0</v>
      </c>
      <c r="GO58" s="97" t="str">
        <f t="shared" si="122"/>
        <v xml:space="preserve"> </v>
      </c>
      <c r="GP58" s="62"/>
      <c r="GQ58" s="63"/>
      <c r="GR58" s="63"/>
      <c r="GS58" s="63"/>
      <c r="GT58" s="63"/>
      <c r="GU58" s="63"/>
      <c r="GV58" s="63"/>
      <c r="GW58" s="63"/>
      <c r="GX58" s="63"/>
      <c r="GY58" s="65" t="str">
        <f t="shared" ref="GY58:GY94" si="138">IFERROR(IF(IN58&gt;0,"X",""),"")</f>
        <v/>
      </c>
      <c r="GZ58" s="65" t="str">
        <f t="shared" ref="GZ58:GZ94" si="139">IFERROR(IF(JC58&gt;0,"X",""),"")</f>
        <v/>
      </c>
      <c r="HA58" s="63"/>
      <c r="HB58" s="63"/>
      <c r="HC58" s="63"/>
      <c r="HD58" s="63"/>
      <c r="HE58" s="63"/>
      <c r="HF58" s="63"/>
      <c r="HG58" s="63"/>
      <c r="HH58" s="63"/>
      <c r="HI58" s="63"/>
      <c r="HJ58" s="63"/>
      <c r="HK58" s="63"/>
      <c r="HL58" s="65" t="str">
        <f t="shared" ref="HL58:HL94" si="140">IFERROR(IF(OR(IQ58&gt;0,IR58&gt;0,IS58&gt;0),"x",""),"")</f>
        <v/>
      </c>
      <c r="HM58" s="65" t="str">
        <f t="shared" si="124"/>
        <v/>
      </c>
      <c r="HN58" s="65" t="str">
        <f t="shared" ref="HN58:HN94" si="141">IFERROR(IF(OR(IW58&gt;0,IX58&gt;0,IY58&gt;0,IZ58&gt;0),"x",""),"")</f>
        <v/>
      </c>
      <c r="HO58" s="65" t="str">
        <f t="shared" ref="HO58:HO94" si="142">IFERROR(IF(OR(JE58&gt;0,JF58&gt;0,JG58&gt;0,JH58&gt;0),"x",""),"")</f>
        <v/>
      </c>
      <c r="HP58" s="99" t="str">
        <f t="shared" si="130"/>
        <v/>
      </c>
      <c r="HQ58" s="99" t="str">
        <f t="shared" ref="HQ58:HQ94" si="143">IFERROR(IF(OR(JL58&gt;0,JM58&gt;0,JN58&gt;0,JO58&gt;0),"x",""),"")</f>
        <v/>
      </c>
      <c r="HR58" s="63"/>
      <c r="HS58" s="63"/>
      <c r="HT58" s="63"/>
      <c r="HU58" s="63"/>
      <c r="HV58" s="63"/>
      <c r="HW58" s="63"/>
      <c r="HX58" s="63"/>
      <c r="HY58" s="63"/>
      <c r="HZ58" s="63"/>
      <c r="IA58" s="63"/>
      <c r="IB58" s="63"/>
      <c r="IC58" s="63"/>
      <c r="ID58" s="63"/>
      <c r="IE58" s="100"/>
      <c r="IF58" s="100"/>
      <c r="IG58" s="100"/>
      <c r="IH58" s="100"/>
      <c r="II58" s="100"/>
      <c r="IJ58" s="100"/>
      <c r="IK58" s="100"/>
      <c r="IL58" s="63"/>
      <c r="IM58" s="62"/>
      <c r="IN58" s="101"/>
      <c r="IO58" s="101"/>
      <c r="IP58" s="63"/>
      <c r="IQ58" s="63"/>
      <c r="IR58" s="63"/>
      <c r="IS58" s="63"/>
      <c r="IT58" s="63"/>
      <c r="IU58" s="63"/>
      <c r="IV58" s="63"/>
      <c r="IW58" s="63"/>
      <c r="IX58" s="63"/>
      <c r="IY58" s="63"/>
      <c r="IZ58" s="63"/>
      <c r="JA58" s="65">
        <f t="shared" si="107"/>
        <v>0</v>
      </c>
      <c r="JB58" s="63"/>
      <c r="JC58" s="101"/>
      <c r="JD58" s="101"/>
      <c r="JE58" s="63"/>
      <c r="JF58" s="63"/>
      <c r="JG58" s="63"/>
      <c r="JH58" s="63"/>
      <c r="JI58" s="63"/>
      <c r="JJ58" s="63"/>
      <c r="JK58" s="63"/>
      <c r="JL58" s="63"/>
      <c r="JM58" s="63"/>
      <c r="JN58" s="63"/>
      <c r="JO58" s="63"/>
      <c r="JP58" s="65">
        <f t="shared" si="133"/>
        <v>0</v>
      </c>
      <c r="JQ58" s="63"/>
      <c r="LM58" s="205"/>
      <c r="LN58" s="102">
        <f>IFERROR(ROWS($IL$8:IL58)," ")</f>
        <v>51</v>
      </c>
      <c r="LO58" s="103" t="str">
        <f>IFERROR(IF([1]Checklist!$C$3='GenInfo (2)'!E58,'GenInfo (2)'!LN58," ")," ")</f>
        <v xml:space="preserve"> </v>
      </c>
      <c r="LP58" s="104" t="str">
        <f>IFERROR(SMALL($LO$8:$LO$94,ROWS($IL$8:IL58))," ")</f>
        <v xml:space="preserve"> </v>
      </c>
      <c r="LQ58" s="102">
        <f>IFERROR(ROWS($IL$8:IL58)," ")</f>
        <v>51</v>
      </c>
      <c r="LR58" s="103" t="str">
        <f>IFERROR(IF([1]Checklist!$C$4='GenInfo (2)'!E58,'GenInfo (2)'!LQ58," ")," ")</f>
        <v xml:space="preserve"> </v>
      </c>
      <c r="LS58" s="104" t="str">
        <f>IFERROR(SMALL($LR$8:$LR$94,ROWS($IL$8:IL58))," ")</f>
        <v xml:space="preserve"> </v>
      </c>
      <c r="LT58" s="102">
        <f>IFERROR(ROWS($IL$8:IL58)," ")</f>
        <v>51</v>
      </c>
      <c r="LU58" s="103" t="str">
        <f>IFERROR(IF([1]Checklist!$C$5='GenInfo (2)'!E58,'GenInfo (2)'!LT58," ")," ")</f>
        <v xml:space="preserve"> </v>
      </c>
      <c r="LV58" s="104" t="str">
        <f>IFERROR(SMALL($LU$8:$LU$94,ROWS($IL$8:IL58))," ")</f>
        <v xml:space="preserve"> </v>
      </c>
      <c r="LW58" s="102">
        <f>IFERROR(ROWS($IL$8:IL58)," ")</f>
        <v>51</v>
      </c>
      <c r="LX58" s="103" t="str">
        <f>IFERROR(IF([1]Checklist!$C$6='GenInfo (2)'!E58,'GenInfo (2)'!LW58," ")," ")</f>
        <v xml:space="preserve"> </v>
      </c>
      <c r="LY58" s="104" t="str">
        <f>IFERROR(SMALL($LX$8:$LX$94,ROWS($IL$8:IL58))," ")</f>
        <v xml:space="preserve"> </v>
      </c>
      <c r="LZ58" s="102">
        <f>IFERROR(ROWS($IL$8:IL58)," ")</f>
        <v>51</v>
      </c>
      <c r="MA58" s="103" t="str">
        <f>IFERROR(IF([1]Checklist!$C$7='GenInfo (2)'!E58,'GenInfo (2)'!LZ58," ")," ")</f>
        <v xml:space="preserve"> </v>
      </c>
      <c r="MB58" s="104" t="str">
        <f>IFERROR(SMALL($MA$8:$MA$94,ROWS($IL$8:IL58))," ")</f>
        <v xml:space="preserve"> </v>
      </c>
      <c r="MC58" s="102">
        <f>IFERROR(ROWS($IL$8:IL58)," ")</f>
        <v>51</v>
      </c>
      <c r="MD58" s="103" t="str">
        <f>IFERROR(IF([1]Checklist!$C$8='GenInfo (2)'!E58,'GenInfo (2)'!MC58," ")," ")</f>
        <v xml:space="preserve"> </v>
      </c>
      <c r="ME58" s="104" t="str">
        <f>IFERROR(SMALL($MD$8:$MD$94,ROWS($IL$8:IL58))," ")</f>
        <v xml:space="preserve"> </v>
      </c>
      <c r="MF58" s="102">
        <f>IFERROR(ROWS($IL$8:IL58)," ")</f>
        <v>51</v>
      </c>
      <c r="MG58" s="103" t="str">
        <f>IFERROR(IF([1]Checklist!$C$9='GenInfo (2)'!E58,'GenInfo (2)'!MF58," ")," ")</f>
        <v xml:space="preserve"> </v>
      </c>
      <c r="MH58" s="104" t="str">
        <f>IFERROR(SMALL($MG$8:$MG$94,ROWS($IL$8:IL58))," ")</f>
        <v xml:space="preserve"> </v>
      </c>
      <c r="MI58" s="102">
        <f>IFERROR(ROWS($IL$8:$IL58)," ")</f>
        <v>51</v>
      </c>
      <c r="MJ58" s="103" t="str">
        <f>IFERROR(IF([1]Checklist!$C$10='GenInfo (2)'!E58,'GenInfo (2)'!MI58," ")," ")</f>
        <v xml:space="preserve"> </v>
      </c>
      <c r="MK58" s="104" t="str">
        <f>IFERROR(SMALL($MJ$8:$MJ$94,ROWS($IL$8:IL58))," ")</f>
        <v xml:space="preserve"> </v>
      </c>
      <c r="ML58" s="102">
        <f>IFERROR(ROWS($IL$8:IL58)," ")</f>
        <v>51</v>
      </c>
      <c r="MM58" s="103" t="str">
        <f>IFERROR(IF([1]Checklist!$C$11='GenInfo (2)'!E58,'GenInfo (2)'!ML58," ")," ")</f>
        <v xml:space="preserve"> </v>
      </c>
      <c r="MN58" s="104" t="str">
        <f>IFERROR(SMALL($MM$8:$MM$94,ROWS($IL$8:IL58))," ")</f>
        <v xml:space="preserve"> </v>
      </c>
      <c r="MO58" s="102">
        <f>IFERROR(ROWS($IL$8:IL58)," ")</f>
        <v>51</v>
      </c>
      <c r="MP58" s="103" t="str">
        <f>IFERROR(IF([1]Checklist!$C$12='GenInfo (2)'!E58,'GenInfo (2)'!MO58," ")," ")</f>
        <v xml:space="preserve"> </v>
      </c>
      <c r="MQ58" s="104" t="str">
        <f>IFERROR(SMALL($MP$8:$MP$94,ROWS($IL$8:IL58))," ")</f>
        <v xml:space="preserve"> </v>
      </c>
      <c r="MR58" s="102">
        <f>IFERROR(ROWS($IL$8:IL58)," ")</f>
        <v>51</v>
      </c>
      <c r="MS58" s="103" t="str">
        <f>IFERROR(IF([1]Checklist!$C$13='GenInfo (2)'!E58,'GenInfo (2)'!MR58," ")," ")</f>
        <v xml:space="preserve"> </v>
      </c>
      <c r="MT58" s="104" t="str">
        <f>IFERROR(SMALL($MS$8:$MS$94,ROWS($IL$8:IL58))," ")</f>
        <v xml:space="preserve"> </v>
      </c>
      <c r="MU58" s="102">
        <f>IFERROR(ROWS($IL$8:IL58)," ")</f>
        <v>51</v>
      </c>
      <c r="MV58" s="103" t="str">
        <f>IFERROR(IF([1]Checklist!$C$14='GenInfo (2)'!E58,'GenInfo (2)'!MU58," ")," ")</f>
        <v xml:space="preserve"> </v>
      </c>
      <c r="MW58" s="104" t="str">
        <f>IFERROR(SMALL($MV$8:$MV$94,ROWS($IL$8:IL58))," ")</f>
        <v xml:space="preserve"> </v>
      </c>
      <c r="MX58" s="102">
        <f>IFERROR(ROWS($IL$8:IL58)," ")</f>
        <v>51</v>
      </c>
      <c r="MY58" s="103" t="str">
        <f>IFERROR(IF([1]Checklist!$C$15='GenInfo (2)'!E58,'GenInfo (2)'!MX58," ")," ")</f>
        <v xml:space="preserve"> </v>
      </c>
      <c r="MZ58" s="104" t="str">
        <f>IFERROR(SMALL($MY$8:$MY$94,ROWS($IL$8:IL58))," ")</f>
        <v xml:space="preserve"> </v>
      </c>
      <c r="NA58" s="102">
        <f>IFERROR(ROWS($IL$8:IL58)," ")</f>
        <v>51</v>
      </c>
      <c r="NB58" s="103" t="str">
        <f>IFERROR(IF([1]Checklist!$C$16='GenInfo (2)'!E58,'GenInfo (2)'!NA58," ")," ")</f>
        <v xml:space="preserve"> </v>
      </c>
      <c r="NC58" s="104" t="str">
        <f>IFERROR(SMALL($NB$8:$NB$94,ROWS($IL$8:IL58))," ")</f>
        <v xml:space="preserve"> </v>
      </c>
      <c r="ND58" s="102">
        <f>IFERROR(ROWS($IL$8:IL58)," ")</f>
        <v>51</v>
      </c>
      <c r="NE58" s="103" t="str">
        <f>IFERROR(IF([1]Checklist!$C$17='GenInfo (2)'!E58,'GenInfo (2)'!ND58," ")," ")</f>
        <v xml:space="preserve"> </v>
      </c>
      <c r="NF58" s="104" t="str">
        <f>IFERROR(SMALL($NE$8:$NE$94,ROWS($IL$8:IL58))," ")</f>
        <v xml:space="preserve"> </v>
      </c>
    </row>
    <row r="59" spans="1:370" ht="14.25" x14ac:dyDescent="0.45">
      <c r="E59" s="64"/>
      <c r="F59" s="63"/>
      <c r="G59" s="64"/>
      <c r="H59" s="63"/>
      <c r="I59" s="63"/>
      <c r="J59" s="63"/>
      <c r="K59" s="62"/>
      <c r="L59" s="67"/>
      <c r="M59" s="67"/>
      <c r="N59" s="67"/>
      <c r="O59" s="68"/>
      <c r="P59" s="67"/>
      <c r="Q59" s="67"/>
      <c r="R59" s="63"/>
      <c r="S59" s="67"/>
      <c r="T59" s="63"/>
      <c r="U59" s="62"/>
      <c r="V59" s="63"/>
      <c r="W59" s="63"/>
      <c r="X59" s="69"/>
      <c r="Y59" s="63"/>
      <c r="Z59" s="69"/>
      <c r="AA59" s="62"/>
      <c r="AB59" s="63"/>
      <c r="AC59" s="63"/>
      <c r="AD59" s="63"/>
      <c r="AE59" s="63"/>
      <c r="AF59" s="63"/>
      <c r="AG59" s="63"/>
      <c r="AH59" s="63"/>
      <c r="AI59" s="63"/>
      <c r="AJ59" s="63"/>
      <c r="AK59" s="62"/>
      <c r="AL59" s="71">
        <f t="shared" si="95"/>
        <v>0</v>
      </c>
      <c r="AM59" s="71">
        <f t="shared" ca="1" si="137"/>
        <v>122</v>
      </c>
      <c r="AN59" s="63"/>
      <c r="AO59" s="72" t="str">
        <f t="shared" ca="1" si="97"/>
        <v/>
      </c>
      <c r="AP59" s="63"/>
      <c r="AQ59" s="73"/>
      <c r="AR59" s="70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2"/>
      <c r="BE59" s="71">
        <f t="shared" si="135"/>
        <v>0</v>
      </c>
      <c r="BF59" s="71">
        <f t="shared" si="135"/>
        <v>0</v>
      </c>
      <c r="BG59" s="71">
        <f t="shared" si="99"/>
        <v>0</v>
      </c>
      <c r="BH59" s="74" t="str">
        <f t="shared" si="100"/>
        <v xml:space="preserve"> </v>
      </c>
      <c r="BI59" s="75" t="str">
        <f t="shared" si="101"/>
        <v xml:space="preserve"> </v>
      </c>
      <c r="BJ59" s="71">
        <f t="shared" si="102"/>
        <v>0</v>
      </c>
      <c r="BK59" s="75" t="str">
        <f t="shared" si="103"/>
        <v xml:space="preserve"> </v>
      </c>
      <c r="BL59" s="76">
        <f t="shared" si="136"/>
        <v>0</v>
      </c>
      <c r="BM59" s="77">
        <f t="shared" si="136"/>
        <v>0</v>
      </c>
      <c r="BN59" s="78"/>
      <c r="BO59" s="67"/>
      <c r="BP59" s="67"/>
      <c r="BQ59" s="63"/>
      <c r="BR59" s="63"/>
      <c r="BS59" s="74" t="str">
        <f t="shared" si="108"/>
        <v xml:space="preserve"> </v>
      </c>
      <c r="BT59" s="79" t="s">
        <v>221</v>
      </c>
      <c r="BU59" s="79" t="s">
        <v>221</v>
      </c>
      <c r="BV59" s="80">
        <v>0</v>
      </c>
      <c r="BW59" s="81">
        <v>0</v>
      </c>
      <c r="BX59" s="82"/>
      <c r="BY59" s="83"/>
      <c r="BZ59" s="83"/>
      <c r="CA59" s="84"/>
      <c r="CB59" s="84"/>
      <c r="CC59" s="74" t="str">
        <f t="shared" si="109"/>
        <v xml:space="preserve"> </v>
      </c>
      <c r="CD59" s="79" t="s">
        <v>221</v>
      </c>
      <c r="CE59" s="81">
        <v>0</v>
      </c>
      <c r="CF59" s="85"/>
      <c r="CG59" s="85"/>
      <c r="CH59" s="85"/>
      <c r="CI59" s="78"/>
      <c r="CJ59" s="78"/>
      <c r="CK59" s="74" t="str">
        <f t="shared" si="110"/>
        <v xml:space="preserve"> </v>
      </c>
      <c r="CL59" s="79" t="s">
        <v>221</v>
      </c>
      <c r="CM59" s="79" t="s">
        <v>221</v>
      </c>
      <c r="CN59" s="86" t="s">
        <v>221</v>
      </c>
      <c r="CO59" s="81">
        <v>0</v>
      </c>
      <c r="CP59" s="87"/>
      <c r="CQ59" s="83"/>
      <c r="CR59" s="83"/>
      <c r="CS59" s="82"/>
      <c r="CT59" s="82"/>
      <c r="CU59" s="74" t="str">
        <f t="shared" si="111"/>
        <v xml:space="preserve"> </v>
      </c>
      <c r="CV59" s="79" t="s">
        <v>221</v>
      </c>
      <c r="CW59" s="79" t="s">
        <v>221</v>
      </c>
      <c r="CX59" s="88" t="s">
        <v>221</v>
      </c>
      <c r="CY59" s="81">
        <v>0</v>
      </c>
      <c r="CZ59" s="89"/>
      <c r="DA59" s="67"/>
      <c r="DB59" s="67"/>
      <c r="DC59" s="78"/>
      <c r="DD59" s="78"/>
      <c r="DE59" s="74" t="str">
        <f t="shared" si="112"/>
        <v xml:space="preserve"> </v>
      </c>
      <c r="DF59" s="79" t="s">
        <v>221</v>
      </c>
      <c r="DG59" s="79" t="s">
        <v>221</v>
      </c>
      <c r="DH59" s="79" t="s">
        <v>221</v>
      </c>
      <c r="DI59" s="81">
        <v>0</v>
      </c>
      <c r="DJ59" s="87"/>
      <c r="DK59" s="83"/>
      <c r="DL59" s="83"/>
      <c r="DM59" s="82"/>
      <c r="DN59" s="82"/>
      <c r="DO59" s="74" t="str">
        <f t="shared" si="113"/>
        <v xml:space="preserve"> </v>
      </c>
      <c r="DP59" s="79" t="s">
        <v>221</v>
      </c>
      <c r="DQ59" s="79" t="s">
        <v>221</v>
      </c>
      <c r="DR59" s="79" t="s">
        <v>221</v>
      </c>
      <c r="DS59" s="81">
        <v>0</v>
      </c>
      <c r="DT59" s="89"/>
      <c r="DU59" s="67"/>
      <c r="DV59" s="67"/>
      <c r="DW59" s="78"/>
      <c r="DX59" s="78"/>
      <c r="DY59" s="74" t="str">
        <f t="shared" si="114"/>
        <v xml:space="preserve"> </v>
      </c>
      <c r="DZ59" s="94"/>
      <c r="EA59" s="94"/>
      <c r="EB59" s="94"/>
      <c r="EC59" s="94"/>
      <c r="ED59" s="87"/>
      <c r="EE59" s="83"/>
      <c r="EF59" s="83"/>
      <c r="EG59" s="82"/>
      <c r="EH59" s="82"/>
      <c r="EI59" s="74" t="str">
        <f t="shared" si="105"/>
        <v xml:space="preserve"> </v>
      </c>
      <c r="EJ59" s="92"/>
      <c r="EK59" s="92"/>
      <c r="EL59" s="92"/>
      <c r="EM59" s="92"/>
      <c r="EN59" s="89"/>
      <c r="EO59" s="67"/>
      <c r="EP59" s="67"/>
      <c r="EQ59" s="78"/>
      <c r="ER59" s="78"/>
      <c r="ES59" s="74" t="str">
        <f t="shared" si="106"/>
        <v xml:space="preserve"> </v>
      </c>
      <c r="ET59" s="94"/>
      <c r="EU59" s="94"/>
      <c r="EV59" s="94">
        <v>0</v>
      </c>
      <c r="EW59" s="76">
        <v>0</v>
      </c>
      <c r="EX59" s="87"/>
      <c r="EY59" s="83"/>
      <c r="EZ59" s="83"/>
      <c r="FA59" s="82"/>
      <c r="FB59" s="82"/>
      <c r="FC59" s="74" t="str">
        <f t="shared" si="115"/>
        <v xml:space="preserve"> </v>
      </c>
      <c r="FD59" s="92"/>
      <c r="FE59" s="92"/>
      <c r="FF59" s="92"/>
      <c r="FG59" s="92"/>
      <c r="FH59" s="76">
        <f t="shared" si="116"/>
        <v>0</v>
      </c>
      <c r="FI59" s="89"/>
      <c r="FJ59" s="67"/>
      <c r="FK59" s="67"/>
      <c r="FL59" s="78"/>
      <c r="FM59" s="78"/>
      <c r="FN59" s="74" t="str">
        <f t="shared" si="117"/>
        <v xml:space="preserve"> </v>
      </c>
      <c r="FO59" s="94"/>
      <c r="FP59" s="94"/>
      <c r="FQ59" s="94"/>
      <c r="FR59" s="94"/>
      <c r="FS59" s="76">
        <f t="shared" si="118"/>
        <v>0</v>
      </c>
      <c r="FT59" s="87"/>
      <c r="FU59" s="83"/>
      <c r="FV59" s="83"/>
      <c r="FW59" s="82"/>
      <c r="FX59" s="82"/>
      <c r="FY59" s="74" t="str">
        <f t="shared" si="119"/>
        <v xml:space="preserve"> </v>
      </c>
      <c r="FZ59" s="92"/>
      <c r="GA59" s="92"/>
      <c r="GB59" s="92"/>
      <c r="GC59" s="92"/>
      <c r="GD59" s="76">
        <f t="shared" si="120"/>
        <v>0</v>
      </c>
      <c r="GE59" s="62"/>
      <c r="GF59" s="96" t="s">
        <v>221</v>
      </c>
      <c r="GG59" s="96" t="s">
        <v>221</v>
      </c>
      <c r="GH59" s="63"/>
      <c r="GI59" s="63"/>
      <c r="GJ59" s="63"/>
      <c r="GK59" s="97">
        <f t="shared" si="84"/>
        <v>0</v>
      </c>
      <c r="GL59" s="98"/>
      <c r="GM59" s="98"/>
      <c r="GN59" s="97">
        <f t="shared" si="121"/>
        <v>0</v>
      </c>
      <c r="GO59" s="97" t="str">
        <f t="shared" si="122"/>
        <v xml:space="preserve"> </v>
      </c>
      <c r="GP59" s="62"/>
      <c r="GQ59" s="63"/>
      <c r="GR59" s="63"/>
      <c r="GS59" s="63"/>
      <c r="GT59" s="63"/>
      <c r="GU59" s="63"/>
      <c r="GV59" s="63"/>
      <c r="GW59" s="63"/>
      <c r="GX59" s="63"/>
      <c r="GY59" s="65" t="str">
        <f t="shared" si="138"/>
        <v/>
      </c>
      <c r="GZ59" s="65" t="str">
        <f t="shared" si="139"/>
        <v/>
      </c>
      <c r="HA59" s="63"/>
      <c r="HB59" s="63"/>
      <c r="HC59" s="63"/>
      <c r="HD59" s="63"/>
      <c r="HE59" s="63"/>
      <c r="HF59" s="63"/>
      <c r="HG59" s="63"/>
      <c r="HH59" s="63"/>
      <c r="HI59" s="63"/>
      <c r="HJ59" s="63"/>
      <c r="HK59" s="63"/>
      <c r="HL59" s="65" t="str">
        <f t="shared" si="140"/>
        <v/>
      </c>
      <c r="HM59" s="65" t="str">
        <f t="shared" si="124"/>
        <v/>
      </c>
      <c r="HN59" s="65" t="str">
        <f t="shared" si="141"/>
        <v/>
      </c>
      <c r="HO59" s="65" t="str">
        <f t="shared" si="142"/>
        <v/>
      </c>
      <c r="HP59" s="99" t="str">
        <f t="shared" si="130"/>
        <v/>
      </c>
      <c r="HQ59" s="99" t="str">
        <f t="shared" si="143"/>
        <v/>
      </c>
      <c r="HR59" s="63"/>
      <c r="HS59" s="63"/>
      <c r="HT59" s="63"/>
      <c r="HU59" s="63"/>
      <c r="HV59" s="63"/>
      <c r="HW59" s="63"/>
      <c r="HX59" s="63"/>
      <c r="HY59" s="63"/>
      <c r="HZ59" s="63"/>
      <c r="IA59" s="63"/>
      <c r="IB59" s="63"/>
      <c r="IC59" s="63"/>
      <c r="ID59" s="63"/>
      <c r="IE59" s="100"/>
      <c r="IF59" s="100"/>
      <c r="IG59" s="100"/>
      <c r="IH59" s="100"/>
      <c r="II59" s="100"/>
      <c r="IJ59" s="100"/>
      <c r="IK59" s="100"/>
      <c r="IL59" s="63"/>
      <c r="IM59" s="62"/>
      <c r="IN59" s="101"/>
      <c r="IO59" s="101"/>
      <c r="IP59" s="63"/>
      <c r="IQ59" s="63"/>
      <c r="IR59" s="63"/>
      <c r="IS59" s="63"/>
      <c r="IT59" s="63"/>
      <c r="IU59" s="63"/>
      <c r="IV59" s="63"/>
      <c r="IW59" s="63"/>
      <c r="IX59" s="63"/>
      <c r="IY59" s="63"/>
      <c r="IZ59" s="63"/>
      <c r="JA59" s="65">
        <f t="shared" si="107"/>
        <v>0</v>
      </c>
      <c r="JB59" s="63"/>
      <c r="JC59" s="101"/>
      <c r="JD59" s="101"/>
      <c r="JE59" s="63"/>
      <c r="JF59" s="63"/>
      <c r="JG59" s="63"/>
      <c r="JH59" s="63"/>
      <c r="JI59" s="63"/>
      <c r="JJ59" s="63"/>
      <c r="JK59" s="63"/>
      <c r="JL59" s="63"/>
      <c r="JM59" s="63"/>
      <c r="JN59" s="63"/>
      <c r="JO59" s="63"/>
      <c r="JP59" s="65">
        <f t="shared" si="133"/>
        <v>0</v>
      </c>
      <c r="JQ59" s="63"/>
      <c r="LM59" s="205"/>
      <c r="LN59" s="102">
        <f>IFERROR(ROWS($IL$8:IL59)," ")</f>
        <v>52</v>
      </c>
      <c r="LO59" s="103" t="str">
        <f>IFERROR(IF([1]Checklist!$C$3='GenInfo (2)'!E59,'GenInfo (2)'!LN59," ")," ")</f>
        <v xml:space="preserve"> </v>
      </c>
      <c r="LP59" s="104" t="str">
        <f>IFERROR(SMALL($LO$8:$LO$94,ROWS($IL$8:IL59))," ")</f>
        <v xml:space="preserve"> </v>
      </c>
      <c r="LQ59" s="102">
        <f>IFERROR(ROWS($IL$8:IL59)," ")</f>
        <v>52</v>
      </c>
      <c r="LR59" s="103" t="str">
        <f>IFERROR(IF([1]Checklist!$C$4='GenInfo (2)'!E59,'GenInfo (2)'!LQ59," ")," ")</f>
        <v xml:space="preserve"> </v>
      </c>
      <c r="LS59" s="104" t="str">
        <f>IFERROR(SMALL($LR$8:$LR$94,ROWS($IL$8:IL59))," ")</f>
        <v xml:space="preserve"> </v>
      </c>
      <c r="LT59" s="102">
        <f>IFERROR(ROWS($IL$8:IL59)," ")</f>
        <v>52</v>
      </c>
      <c r="LU59" s="103" t="str">
        <f>IFERROR(IF([1]Checklist!$C$5='GenInfo (2)'!E59,'GenInfo (2)'!LT59," ")," ")</f>
        <v xml:space="preserve"> </v>
      </c>
      <c r="LV59" s="104" t="str">
        <f>IFERROR(SMALL($LU$8:$LU$94,ROWS($IL$8:IL59))," ")</f>
        <v xml:space="preserve"> </v>
      </c>
      <c r="LW59" s="102">
        <f>IFERROR(ROWS($IL$8:IL59)," ")</f>
        <v>52</v>
      </c>
      <c r="LX59" s="103" t="str">
        <f>IFERROR(IF([1]Checklist!$C$6='GenInfo (2)'!E59,'GenInfo (2)'!LW59," ")," ")</f>
        <v xml:space="preserve"> </v>
      </c>
      <c r="LY59" s="104" t="str">
        <f>IFERROR(SMALL($LX$8:$LX$94,ROWS($IL$8:IL59))," ")</f>
        <v xml:space="preserve"> </v>
      </c>
      <c r="LZ59" s="102">
        <f>IFERROR(ROWS($IL$8:IL59)," ")</f>
        <v>52</v>
      </c>
      <c r="MA59" s="103" t="str">
        <f>IFERROR(IF([1]Checklist!$C$7='GenInfo (2)'!E59,'GenInfo (2)'!LZ59," ")," ")</f>
        <v xml:space="preserve"> </v>
      </c>
      <c r="MB59" s="104" t="str">
        <f>IFERROR(SMALL($MA$8:$MA$94,ROWS($IL$8:IL59))," ")</f>
        <v xml:space="preserve"> </v>
      </c>
      <c r="MC59" s="102">
        <f>IFERROR(ROWS($IL$8:IL59)," ")</f>
        <v>52</v>
      </c>
      <c r="MD59" s="103" t="str">
        <f>IFERROR(IF([1]Checklist!$C$8='GenInfo (2)'!E59,'GenInfo (2)'!MC59," ")," ")</f>
        <v xml:space="preserve"> </v>
      </c>
      <c r="ME59" s="104" t="str">
        <f>IFERROR(SMALL($MD$8:$MD$94,ROWS($IL$8:IL59))," ")</f>
        <v xml:space="preserve"> </v>
      </c>
      <c r="MF59" s="102">
        <f>IFERROR(ROWS($IL$8:IL59)," ")</f>
        <v>52</v>
      </c>
      <c r="MG59" s="103" t="str">
        <f>IFERROR(IF([1]Checklist!$C$9='GenInfo (2)'!E59,'GenInfo (2)'!MF59," ")," ")</f>
        <v xml:space="preserve"> </v>
      </c>
      <c r="MH59" s="104" t="str">
        <f>IFERROR(SMALL($MG$8:$MG$94,ROWS($IL$8:IL59))," ")</f>
        <v xml:space="preserve"> </v>
      </c>
      <c r="MI59" s="102">
        <f>IFERROR(ROWS($IL$8:$IL59)," ")</f>
        <v>52</v>
      </c>
      <c r="MJ59" s="103" t="str">
        <f>IFERROR(IF([1]Checklist!$C$10='GenInfo (2)'!E59,'GenInfo (2)'!MI59," ")," ")</f>
        <v xml:space="preserve"> </v>
      </c>
      <c r="MK59" s="104" t="str">
        <f>IFERROR(SMALL($MJ$8:$MJ$94,ROWS($IL$8:IL59))," ")</f>
        <v xml:space="preserve"> </v>
      </c>
      <c r="ML59" s="102">
        <f>IFERROR(ROWS($IL$8:IL59)," ")</f>
        <v>52</v>
      </c>
      <c r="MM59" s="103" t="str">
        <f>IFERROR(IF([1]Checklist!$C$11='GenInfo (2)'!E59,'GenInfo (2)'!ML59," ")," ")</f>
        <v xml:space="preserve"> </v>
      </c>
      <c r="MN59" s="104" t="str">
        <f>IFERROR(SMALL($MM$8:$MM$94,ROWS($IL$8:IL59))," ")</f>
        <v xml:space="preserve"> </v>
      </c>
      <c r="MO59" s="102">
        <f>IFERROR(ROWS($IL$8:IL59)," ")</f>
        <v>52</v>
      </c>
      <c r="MP59" s="103" t="str">
        <f>IFERROR(IF([1]Checklist!$C$12='GenInfo (2)'!E59,'GenInfo (2)'!MO59," ")," ")</f>
        <v xml:space="preserve"> </v>
      </c>
      <c r="MQ59" s="104" t="str">
        <f>IFERROR(SMALL($MP$8:$MP$94,ROWS($IL$8:IL59))," ")</f>
        <v xml:space="preserve"> </v>
      </c>
      <c r="MR59" s="102">
        <f>IFERROR(ROWS($IL$8:IL59)," ")</f>
        <v>52</v>
      </c>
      <c r="MS59" s="103" t="str">
        <f>IFERROR(IF([1]Checklist!$C$13='GenInfo (2)'!E59,'GenInfo (2)'!MR59," ")," ")</f>
        <v xml:space="preserve"> </v>
      </c>
      <c r="MT59" s="104" t="str">
        <f>IFERROR(SMALL($MS$8:$MS$94,ROWS($IL$8:IL59))," ")</f>
        <v xml:space="preserve"> </v>
      </c>
      <c r="MU59" s="102">
        <f>IFERROR(ROWS($IL$8:IL59)," ")</f>
        <v>52</v>
      </c>
      <c r="MV59" s="103" t="str">
        <f>IFERROR(IF([1]Checklist!$C$14='GenInfo (2)'!E59,'GenInfo (2)'!MU59," ")," ")</f>
        <v xml:space="preserve"> </v>
      </c>
      <c r="MW59" s="104" t="str">
        <f>IFERROR(SMALL($MV$8:$MV$94,ROWS($IL$8:IL59))," ")</f>
        <v xml:space="preserve"> </v>
      </c>
      <c r="MX59" s="102">
        <f>IFERROR(ROWS($IL$8:IL59)," ")</f>
        <v>52</v>
      </c>
      <c r="MY59" s="103" t="str">
        <f>IFERROR(IF([1]Checklist!$C$15='GenInfo (2)'!E59,'GenInfo (2)'!MX59," ")," ")</f>
        <v xml:space="preserve"> </v>
      </c>
      <c r="MZ59" s="104" t="str">
        <f>IFERROR(SMALL($MY$8:$MY$94,ROWS($IL$8:IL59))," ")</f>
        <v xml:space="preserve"> </v>
      </c>
      <c r="NA59" s="102">
        <f>IFERROR(ROWS($IL$8:IL59)," ")</f>
        <v>52</v>
      </c>
      <c r="NB59" s="103" t="str">
        <f>IFERROR(IF([1]Checklist!$C$16='GenInfo (2)'!E59,'GenInfo (2)'!NA59," ")," ")</f>
        <v xml:space="preserve"> </v>
      </c>
      <c r="NC59" s="104" t="str">
        <f>IFERROR(SMALL($NB$8:$NB$94,ROWS($IL$8:IL59))," ")</f>
        <v xml:space="preserve"> </v>
      </c>
      <c r="ND59" s="102">
        <f>IFERROR(ROWS($IL$8:IL59)," ")</f>
        <v>52</v>
      </c>
      <c r="NE59" s="103" t="str">
        <f>IFERROR(IF([1]Checklist!$C$17='GenInfo (2)'!E59,'GenInfo (2)'!ND59," ")," ")</f>
        <v xml:space="preserve"> </v>
      </c>
      <c r="NF59" s="104" t="str">
        <f>IFERROR(SMALL($NE$8:$NE$94,ROWS($IL$8:IL59))," ")</f>
        <v xml:space="preserve"> </v>
      </c>
    </row>
    <row r="60" spans="1:370" ht="14.25" x14ac:dyDescent="0.45">
      <c r="E60" s="64"/>
      <c r="F60" s="63"/>
      <c r="G60" s="64"/>
      <c r="H60" s="63"/>
      <c r="I60" s="63"/>
      <c r="J60" s="63"/>
      <c r="K60" s="62"/>
      <c r="L60" s="67"/>
      <c r="M60" s="67"/>
      <c r="N60" s="67"/>
      <c r="O60" s="68"/>
      <c r="P60" s="67"/>
      <c r="Q60" s="67"/>
      <c r="R60" s="63"/>
      <c r="S60" s="67"/>
      <c r="T60" s="63"/>
      <c r="U60" s="62"/>
      <c r="V60" s="63"/>
      <c r="W60" s="63"/>
      <c r="X60" s="69"/>
      <c r="Y60" s="63"/>
      <c r="Z60" s="69"/>
      <c r="AA60" s="62"/>
      <c r="AB60" s="63"/>
      <c r="AC60" s="63"/>
      <c r="AD60" s="63"/>
      <c r="AE60" s="63"/>
      <c r="AF60" s="63"/>
      <c r="AG60" s="63"/>
      <c r="AH60" s="63"/>
      <c r="AI60" s="63"/>
      <c r="AJ60" s="63"/>
      <c r="AK60" s="62"/>
      <c r="AL60" s="71">
        <f t="shared" si="95"/>
        <v>0</v>
      </c>
      <c r="AM60" s="71">
        <f t="shared" ca="1" si="137"/>
        <v>122</v>
      </c>
      <c r="AN60" s="63"/>
      <c r="AO60" s="72" t="str">
        <f t="shared" ca="1" si="97"/>
        <v/>
      </c>
      <c r="AP60" s="63"/>
      <c r="AQ60" s="73"/>
      <c r="AR60" s="70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2"/>
      <c r="BE60" s="71">
        <f t="shared" si="135"/>
        <v>0</v>
      </c>
      <c r="BF60" s="71">
        <f t="shared" si="135"/>
        <v>0</v>
      </c>
      <c r="BG60" s="71">
        <f t="shared" si="99"/>
        <v>0</v>
      </c>
      <c r="BH60" s="74" t="str">
        <f t="shared" si="100"/>
        <v xml:space="preserve"> </v>
      </c>
      <c r="BI60" s="75" t="str">
        <f t="shared" si="101"/>
        <v xml:space="preserve"> </v>
      </c>
      <c r="BJ60" s="71">
        <f t="shared" si="102"/>
        <v>0</v>
      </c>
      <c r="BK60" s="75" t="str">
        <f t="shared" si="103"/>
        <v xml:space="preserve"> </v>
      </c>
      <c r="BL60" s="76">
        <f t="shared" si="136"/>
        <v>0</v>
      </c>
      <c r="BM60" s="77">
        <f t="shared" si="136"/>
        <v>0</v>
      </c>
      <c r="BN60" s="78"/>
      <c r="BO60" s="67"/>
      <c r="BP60" s="67"/>
      <c r="BQ60" s="63"/>
      <c r="BR60" s="63"/>
      <c r="BS60" s="74" t="str">
        <f t="shared" si="108"/>
        <v xml:space="preserve"> </v>
      </c>
      <c r="BT60" s="79" t="s">
        <v>221</v>
      </c>
      <c r="BU60" s="79" t="s">
        <v>221</v>
      </c>
      <c r="BV60" s="80">
        <v>0</v>
      </c>
      <c r="BW60" s="81">
        <v>0</v>
      </c>
      <c r="BX60" s="82"/>
      <c r="BY60" s="83"/>
      <c r="BZ60" s="83"/>
      <c r="CA60" s="84"/>
      <c r="CB60" s="84"/>
      <c r="CC60" s="74" t="str">
        <f t="shared" si="109"/>
        <v xml:space="preserve"> </v>
      </c>
      <c r="CD60" s="79" t="s">
        <v>221</v>
      </c>
      <c r="CE60" s="81">
        <v>0</v>
      </c>
      <c r="CF60" s="85"/>
      <c r="CG60" s="85"/>
      <c r="CH60" s="85"/>
      <c r="CI60" s="78"/>
      <c r="CJ60" s="78"/>
      <c r="CK60" s="74" t="str">
        <f t="shared" si="110"/>
        <v xml:space="preserve"> </v>
      </c>
      <c r="CL60" s="79" t="s">
        <v>221</v>
      </c>
      <c r="CM60" s="79" t="s">
        <v>221</v>
      </c>
      <c r="CN60" s="86" t="s">
        <v>221</v>
      </c>
      <c r="CO60" s="81">
        <v>0</v>
      </c>
      <c r="CP60" s="87"/>
      <c r="CQ60" s="83"/>
      <c r="CR60" s="83"/>
      <c r="CS60" s="82"/>
      <c r="CT60" s="82"/>
      <c r="CU60" s="74" t="str">
        <f t="shared" si="111"/>
        <v xml:space="preserve"> </v>
      </c>
      <c r="CV60" s="79" t="s">
        <v>221</v>
      </c>
      <c r="CW60" s="79" t="s">
        <v>221</v>
      </c>
      <c r="CX60" s="88" t="s">
        <v>221</v>
      </c>
      <c r="CY60" s="81">
        <v>0</v>
      </c>
      <c r="CZ60" s="89"/>
      <c r="DA60" s="67"/>
      <c r="DB60" s="67"/>
      <c r="DC60" s="78"/>
      <c r="DD60" s="78"/>
      <c r="DE60" s="74" t="str">
        <f t="shared" si="112"/>
        <v xml:space="preserve"> </v>
      </c>
      <c r="DF60" s="79" t="s">
        <v>221</v>
      </c>
      <c r="DG60" s="79" t="s">
        <v>221</v>
      </c>
      <c r="DH60" s="79" t="s">
        <v>221</v>
      </c>
      <c r="DI60" s="81">
        <v>0</v>
      </c>
      <c r="DJ60" s="87"/>
      <c r="DK60" s="83"/>
      <c r="DL60" s="83"/>
      <c r="DM60" s="82"/>
      <c r="DN60" s="82"/>
      <c r="DO60" s="74" t="str">
        <f t="shared" si="113"/>
        <v xml:space="preserve"> </v>
      </c>
      <c r="DP60" s="79" t="s">
        <v>221</v>
      </c>
      <c r="DQ60" s="79" t="s">
        <v>221</v>
      </c>
      <c r="DR60" s="79" t="s">
        <v>221</v>
      </c>
      <c r="DS60" s="81">
        <v>0</v>
      </c>
      <c r="DT60" s="89"/>
      <c r="DU60" s="67"/>
      <c r="DV60" s="67"/>
      <c r="DW60" s="78"/>
      <c r="DX60" s="78"/>
      <c r="DY60" s="74" t="str">
        <f t="shared" si="114"/>
        <v xml:space="preserve"> </v>
      </c>
      <c r="DZ60" s="94"/>
      <c r="EA60" s="94"/>
      <c r="EB60" s="94"/>
      <c r="EC60" s="94"/>
      <c r="ED60" s="87"/>
      <c r="EE60" s="83"/>
      <c r="EF60" s="83"/>
      <c r="EG60" s="82"/>
      <c r="EH60" s="82"/>
      <c r="EI60" s="74" t="str">
        <f t="shared" si="105"/>
        <v xml:space="preserve"> </v>
      </c>
      <c r="EJ60" s="92"/>
      <c r="EK60" s="92"/>
      <c r="EL60" s="92"/>
      <c r="EM60" s="92"/>
      <c r="EN60" s="89"/>
      <c r="EO60" s="67"/>
      <c r="EP60" s="67"/>
      <c r="EQ60" s="78"/>
      <c r="ER60" s="78"/>
      <c r="ES60" s="74" t="str">
        <f t="shared" si="106"/>
        <v xml:space="preserve"> </v>
      </c>
      <c r="ET60" s="94"/>
      <c r="EU60" s="94"/>
      <c r="EV60" s="94">
        <v>0</v>
      </c>
      <c r="EW60" s="76">
        <v>0</v>
      </c>
      <c r="EX60" s="87"/>
      <c r="EY60" s="83"/>
      <c r="EZ60" s="83"/>
      <c r="FA60" s="82"/>
      <c r="FB60" s="82"/>
      <c r="FC60" s="74" t="str">
        <f t="shared" si="115"/>
        <v xml:space="preserve"> </v>
      </c>
      <c r="FD60" s="92"/>
      <c r="FE60" s="92"/>
      <c r="FF60" s="92"/>
      <c r="FG60" s="92"/>
      <c r="FH60" s="76">
        <f t="shared" si="116"/>
        <v>0</v>
      </c>
      <c r="FI60" s="89"/>
      <c r="FJ60" s="67"/>
      <c r="FK60" s="67"/>
      <c r="FL60" s="78"/>
      <c r="FM60" s="78"/>
      <c r="FN60" s="74" t="str">
        <f t="shared" si="117"/>
        <v xml:space="preserve"> </v>
      </c>
      <c r="FO60" s="94"/>
      <c r="FP60" s="94"/>
      <c r="FQ60" s="94"/>
      <c r="FR60" s="94"/>
      <c r="FS60" s="76">
        <f t="shared" si="118"/>
        <v>0</v>
      </c>
      <c r="FT60" s="87"/>
      <c r="FU60" s="83"/>
      <c r="FV60" s="83"/>
      <c r="FW60" s="82"/>
      <c r="FX60" s="82"/>
      <c r="FY60" s="74" t="str">
        <f t="shared" si="119"/>
        <v xml:space="preserve"> </v>
      </c>
      <c r="FZ60" s="92"/>
      <c r="GA60" s="92"/>
      <c r="GB60" s="92"/>
      <c r="GC60" s="92"/>
      <c r="GD60" s="76">
        <f t="shared" si="120"/>
        <v>0</v>
      </c>
      <c r="GE60" s="62"/>
      <c r="GF60" s="96" t="s">
        <v>221</v>
      </c>
      <c r="GG60" s="96" t="s">
        <v>221</v>
      </c>
      <c r="GH60" s="63"/>
      <c r="GI60" s="63"/>
      <c r="GJ60" s="63"/>
      <c r="GK60" s="97">
        <f t="shared" si="84"/>
        <v>0</v>
      </c>
      <c r="GL60" s="98"/>
      <c r="GM60" s="98"/>
      <c r="GN60" s="97">
        <f t="shared" si="121"/>
        <v>0</v>
      </c>
      <c r="GO60" s="97" t="str">
        <f t="shared" si="122"/>
        <v xml:space="preserve"> </v>
      </c>
      <c r="GP60" s="62"/>
      <c r="GQ60" s="63"/>
      <c r="GR60" s="63"/>
      <c r="GS60" s="63"/>
      <c r="GT60" s="63"/>
      <c r="GU60" s="63"/>
      <c r="GV60" s="63"/>
      <c r="GW60" s="63"/>
      <c r="GX60" s="63"/>
      <c r="GY60" s="65" t="str">
        <f t="shared" si="138"/>
        <v/>
      </c>
      <c r="GZ60" s="65" t="str">
        <f t="shared" si="139"/>
        <v/>
      </c>
      <c r="HA60" s="63"/>
      <c r="HB60" s="63"/>
      <c r="HC60" s="63"/>
      <c r="HD60" s="63"/>
      <c r="HE60" s="63"/>
      <c r="HF60" s="63"/>
      <c r="HG60" s="63"/>
      <c r="HH60" s="63"/>
      <c r="HI60" s="63"/>
      <c r="HJ60" s="63"/>
      <c r="HK60" s="63"/>
      <c r="HL60" s="65" t="str">
        <f t="shared" si="140"/>
        <v/>
      </c>
      <c r="HM60" s="65" t="str">
        <f t="shared" si="124"/>
        <v/>
      </c>
      <c r="HN60" s="65" t="str">
        <f t="shared" si="141"/>
        <v/>
      </c>
      <c r="HO60" s="65" t="str">
        <f t="shared" si="142"/>
        <v/>
      </c>
      <c r="HP60" s="99" t="str">
        <f t="shared" si="130"/>
        <v/>
      </c>
      <c r="HQ60" s="99" t="str">
        <f t="shared" si="143"/>
        <v/>
      </c>
      <c r="HR60" s="63"/>
      <c r="HS60" s="63"/>
      <c r="HT60" s="63"/>
      <c r="HU60" s="63"/>
      <c r="HV60" s="63"/>
      <c r="HW60" s="63"/>
      <c r="HX60" s="63"/>
      <c r="HY60" s="63"/>
      <c r="HZ60" s="63"/>
      <c r="IA60" s="63"/>
      <c r="IB60" s="63"/>
      <c r="IC60" s="63"/>
      <c r="ID60" s="63"/>
      <c r="IE60" s="100"/>
      <c r="IF60" s="100"/>
      <c r="IG60" s="100"/>
      <c r="IH60" s="100"/>
      <c r="II60" s="100"/>
      <c r="IJ60" s="100"/>
      <c r="IK60" s="100"/>
      <c r="IL60" s="63"/>
      <c r="IM60" s="62"/>
      <c r="IN60" s="101"/>
      <c r="IO60" s="101"/>
      <c r="IP60" s="63"/>
      <c r="IQ60" s="63"/>
      <c r="IR60" s="63"/>
      <c r="IS60" s="63"/>
      <c r="IT60" s="63"/>
      <c r="IU60" s="63"/>
      <c r="IV60" s="63"/>
      <c r="IW60" s="63"/>
      <c r="IX60" s="63"/>
      <c r="IY60" s="63"/>
      <c r="IZ60" s="63"/>
      <c r="JA60" s="65">
        <f t="shared" si="107"/>
        <v>0</v>
      </c>
      <c r="JB60" s="63"/>
      <c r="JC60" s="101"/>
      <c r="JD60" s="101"/>
      <c r="JE60" s="63"/>
      <c r="JF60" s="63"/>
      <c r="JG60" s="63"/>
      <c r="JH60" s="63"/>
      <c r="JI60" s="63"/>
      <c r="JJ60" s="63"/>
      <c r="JK60" s="63"/>
      <c r="JL60" s="63"/>
      <c r="JM60" s="63"/>
      <c r="JN60" s="63"/>
      <c r="JO60" s="63"/>
      <c r="JP60" s="65">
        <f t="shared" si="133"/>
        <v>0</v>
      </c>
      <c r="JQ60" s="63"/>
      <c r="LM60" s="205"/>
      <c r="LN60" s="102">
        <f>IFERROR(ROWS($IL$8:IL60)," ")</f>
        <v>53</v>
      </c>
      <c r="LO60" s="103" t="str">
        <f>IFERROR(IF([1]Checklist!$C$3='GenInfo (2)'!E60,'GenInfo (2)'!LN60," ")," ")</f>
        <v xml:space="preserve"> </v>
      </c>
      <c r="LP60" s="104" t="str">
        <f>IFERROR(SMALL($LO$8:$LO$94,ROWS($IL$8:IL60))," ")</f>
        <v xml:space="preserve"> </v>
      </c>
      <c r="LQ60" s="102">
        <f>IFERROR(ROWS($IL$8:IL60)," ")</f>
        <v>53</v>
      </c>
      <c r="LR60" s="103" t="str">
        <f>IFERROR(IF([1]Checklist!$C$4='GenInfo (2)'!E60,'GenInfo (2)'!LQ60," ")," ")</f>
        <v xml:space="preserve"> </v>
      </c>
      <c r="LS60" s="104" t="str">
        <f>IFERROR(SMALL($LR$8:$LR$94,ROWS($IL$8:IL60))," ")</f>
        <v xml:space="preserve"> </v>
      </c>
      <c r="LT60" s="102">
        <f>IFERROR(ROWS($IL$8:IL60)," ")</f>
        <v>53</v>
      </c>
      <c r="LU60" s="103" t="str">
        <f>IFERROR(IF([1]Checklist!$C$5='GenInfo (2)'!E60,'GenInfo (2)'!LT60," ")," ")</f>
        <v xml:space="preserve"> </v>
      </c>
      <c r="LV60" s="104" t="str">
        <f>IFERROR(SMALL($LU$8:$LU$94,ROWS($IL$8:IL60))," ")</f>
        <v xml:space="preserve"> </v>
      </c>
      <c r="LW60" s="102">
        <f>IFERROR(ROWS($IL$8:IL60)," ")</f>
        <v>53</v>
      </c>
      <c r="LX60" s="103" t="str">
        <f>IFERROR(IF([1]Checklist!$C$6='GenInfo (2)'!E60,'GenInfo (2)'!LW60," ")," ")</f>
        <v xml:space="preserve"> </v>
      </c>
      <c r="LY60" s="104" t="str">
        <f>IFERROR(SMALL($LX$8:$LX$94,ROWS($IL$8:IL60))," ")</f>
        <v xml:space="preserve"> </v>
      </c>
      <c r="LZ60" s="102">
        <f>IFERROR(ROWS($IL$8:IL60)," ")</f>
        <v>53</v>
      </c>
      <c r="MA60" s="103" t="str">
        <f>IFERROR(IF([1]Checklist!$C$7='GenInfo (2)'!E60,'GenInfo (2)'!LZ60," ")," ")</f>
        <v xml:space="preserve"> </v>
      </c>
      <c r="MB60" s="104" t="str">
        <f>IFERROR(SMALL($MA$8:$MA$94,ROWS($IL$8:IL60))," ")</f>
        <v xml:space="preserve"> </v>
      </c>
      <c r="MC60" s="102">
        <f>IFERROR(ROWS($IL$8:IL60)," ")</f>
        <v>53</v>
      </c>
      <c r="MD60" s="103" t="str">
        <f>IFERROR(IF([1]Checklist!$C$8='GenInfo (2)'!E60,'GenInfo (2)'!MC60," ")," ")</f>
        <v xml:space="preserve"> </v>
      </c>
      <c r="ME60" s="104" t="str">
        <f>IFERROR(SMALL($MD$8:$MD$94,ROWS($IL$8:IL60))," ")</f>
        <v xml:space="preserve"> </v>
      </c>
      <c r="MF60" s="102">
        <f>IFERROR(ROWS($IL$8:IL60)," ")</f>
        <v>53</v>
      </c>
      <c r="MG60" s="103" t="str">
        <f>IFERROR(IF([1]Checklist!$C$9='GenInfo (2)'!E60,'GenInfo (2)'!MF60," ")," ")</f>
        <v xml:space="preserve"> </v>
      </c>
      <c r="MH60" s="104" t="str">
        <f>IFERROR(SMALL($MG$8:$MG$94,ROWS($IL$8:IL60))," ")</f>
        <v xml:space="preserve"> </v>
      </c>
      <c r="MI60" s="102">
        <f>IFERROR(ROWS($IL$8:$IL60)," ")</f>
        <v>53</v>
      </c>
      <c r="MJ60" s="103" t="str">
        <f>IFERROR(IF([1]Checklist!$C$10='GenInfo (2)'!E60,'GenInfo (2)'!MI60," ")," ")</f>
        <v xml:space="preserve"> </v>
      </c>
      <c r="MK60" s="104" t="str">
        <f>IFERROR(SMALL($MJ$8:$MJ$94,ROWS($IL$8:IL60))," ")</f>
        <v xml:space="preserve"> </v>
      </c>
      <c r="ML60" s="102">
        <f>IFERROR(ROWS($IL$8:IL60)," ")</f>
        <v>53</v>
      </c>
      <c r="MM60" s="103" t="str">
        <f>IFERROR(IF([1]Checklist!$C$11='GenInfo (2)'!E60,'GenInfo (2)'!ML60," ")," ")</f>
        <v xml:space="preserve"> </v>
      </c>
      <c r="MN60" s="104" t="str">
        <f>IFERROR(SMALL($MM$8:$MM$94,ROWS($IL$8:IL60))," ")</f>
        <v xml:space="preserve"> </v>
      </c>
      <c r="MO60" s="102">
        <f>IFERROR(ROWS($IL$8:IL60)," ")</f>
        <v>53</v>
      </c>
      <c r="MP60" s="103" t="str">
        <f>IFERROR(IF([1]Checklist!$C$12='GenInfo (2)'!E60,'GenInfo (2)'!MO60," ")," ")</f>
        <v xml:space="preserve"> </v>
      </c>
      <c r="MQ60" s="104" t="str">
        <f>IFERROR(SMALL($MP$8:$MP$94,ROWS($IL$8:IL60))," ")</f>
        <v xml:space="preserve"> </v>
      </c>
      <c r="MR60" s="102">
        <f>IFERROR(ROWS($IL$8:IL60)," ")</f>
        <v>53</v>
      </c>
      <c r="MS60" s="103" t="str">
        <f>IFERROR(IF([1]Checklist!$C$13='GenInfo (2)'!E60,'GenInfo (2)'!MR60," ")," ")</f>
        <v xml:space="preserve"> </v>
      </c>
      <c r="MT60" s="104" t="str">
        <f>IFERROR(SMALL($MS$8:$MS$94,ROWS($IL$8:IL60))," ")</f>
        <v xml:space="preserve"> </v>
      </c>
      <c r="MU60" s="102">
        <f>IFERROR(ROWS($IL$8:IL60)," ")</f>
        <v>53</v>
      </c>
      <c r="MV60" s="103" t="str">
        <f>IFERROR(IF([1]Checklist!$C$14='GenInfo (2)'!E60,'GenInfo (2)'!MU60," ")," ")</f>
        <v xml:space="preserve"> </v>
      </c>
      <c r="MW60" s="104" t="str">
        <f>IFERROR(SMALL($MV$8:$MV$94,ROWS($IL$8:IL60))," ")</f>
        <v xml:space="preserve"> </v>
      </c>
      <c r="MX60" s="102">
        <f>IFERROR(ROWS($IL$8:IL60)," ")</f>
        <v>53</v>
      </c>
      <c r="MY60" s="103" t="str">
        <f>IFERROR(IF([1]Checklist!$C$15='GenInfo (2)'!E60,'GenInfo (2)'!MX60," ")," ")</f>
        <v xml:space="preserve"> </v>
      </c>
      <c r="MZ60" s="104" t="str">
        <f>IFERROR(SMALL($MY$8:$MY$94,ROWS($IL$8:IL60))," ")</f>
        <v xml:space="preserve"> </v>
      </c>
      <c r="NA60" s="102">
        <f>IFERROR(ROWS($IL$8:IL60)," ")</f>
        <v>53</v>
      </c>
      <c r="NB60" s="103" t="str">
        <f>IFERROR(IF([1]Checklist!$C$16='GenInfo (2)'!E60,'GenInfo (2)'!NA60," ")," ")</f>
        <v xml:space="preserve"> </v>
      </c>
      <c r="NC60" s="104" t="str">
        <f>IFERROR(SMALL($NB$8:$NB$94,ROWS($IL$8:IL60))," ")</f>
        <v xml:space="preserve"> </v>
      </c>
      <c r="ND60" s="102">
        <f>IFERROR(ROWS($IL$8:IL60)," ")</f>
        <v>53</v>
      </c>
      <c r="NE60" s="103" t="str">
        <f>IFERROR(IF([1]Checklist!$C$17='GenInfo (2)'!E60,'GenInfo (2)'!ND60," ")," ")</f>
        <v xml:space="preserve"> </v>
      </c>
      <c r="NF60" s="104" t="str">
        <f>IFERROR(SMALL($NE$8:$NE$94,ROWS($IL$8:IL60))," ")</f>
        <v xml:space="preserve"> </v>
      </c>
    </row>
    <row r="61" spans="1:370" ht="14.25" x14ac:dyDescent="0.45">
      <c r="E61" s="64"/>
      <c r="F61" s="63"/>
      <c r="G61" s="64"/>
      <c r="H61" s="63"/>
      <c r="I61" s="63"/>
      <c r="J61" s="63"/>
      <c r="K61" s="62"/>
      <c r="L61" s="67"/>
      <c r="M61" s="67"/>
      <c r="N61" s="67"/>
      <c r="O61" s="68"/>
      <c r="P61" s="67"/>
      <c r="Q61" s="67"/>
      <c r="R61" s="63"/>
      <c r="S61" s="67"/>
      <c r="T61" s="63"/>
      <c r="U61" s="62"/>
      <c r="V61" s="63"/>
      <c r="W61" s="63"/>
      <c r="X61" s="69"/>
      <c r="Y61" s="63"/>
      <c r="Z61" s="69"/>
      <c r="AA61" s="62"/>
      <c r="AB61" s="63"/>
      <c r="AC61" s="63"/>
      <c r="AD61" s="63"/>
      <c r="AE61" s="63"/>
      <c r="AF61" s="63"/>
      <c r="AG61" s="63"/>
      <c r="AH61" s="63"/>
      <c r="AI61" s="63"/>
      <c r="AJ61" s="63"/>
      <c r="AK61" s="62"/>
      <c r="AL61" s="71">
        <f t="shared" si="95"/>
        <v>0</v>
      </c>
      <c r="AM61" s="71">
        <f t="shared" ca="1" si="137"/>
        <v>122</v>
      </c>
      <c r="AN61" s="63"/>
      <c r="AO61" s="72" t="str">
        <f t="shared" ca="1" si="97"/>
        <v/>
      </c>
      <c r="AP61" s="63"/>
      <c r="AQ61" s="73"/>
      <c r="AR61" s="70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2"/>
      <c r="BE61" s="71">
        <f t="shared" si="135"/>
        <v>0</v>
      </c>
      <c r="BF61" s="71">
        <f t="shared" si="135"/>
        <v>0</v>
      </c>
      <c r="BG61" s="71">
        <f t="shared" si="99"/>
        <v>0</v>
      </c>
      <c r="BH61" s="74" t="str">
        <f t="shared" si="100"/>
        <v xml:space="preserve"> </v>
      </c>
      <c r="BI61" s="75" t="str">
        <f t="shared" si="101"/>
        <v xml:space="preserve"> </v>
      </c>
      <c r="BJ61" s="71">
        <f t="shared" si="102"/>
        <v>0</v>
      </c>
      <c r="BK61" s="75" t="str">
        <f t="shared" si="103"/>
        <v xml:space="preserve"> </v>
      </c>
      <c r="BL61" s="76">
        <f t="shared" si="136"/>
        <v>0</v>
      </c>
      <c r="BM61" s="77">
        <f t="shared" si="136"/>
        <v>0</v>
      </c>
      <c r="BN61" s="78"/>
      <c r="BO61" s="67"/>
      <c r="BP61" s="67"/>
      <c r="BQ61" s="63"/>
      <c r="BR61" s="63"/>
      <c r="BS61" s="74" t="str">
        <f t="shared" si="108"/>
        <v xml:space="preserve"> </v>
      </c>
      <c r="BT61" s="79" t="s">
        <v>221</v>
      </c>
      <c r="BU61" s="79" t="s">
        <v>221</v>
      </c>
      <c r="BV61" s="80">
        <v>0</v>
      </c>
      <c r="BW61" s="81">
        <v>0</v>
      </c>
      <c r="BX61" s="82"/>
      <c r="BY61" s="83"/>
      <c r="BZ61" s="83"/>
      <c r="CA61" s="84"/>
      <c r="CB61" s="84"/>
      <c r="CC61" s="74" t="str">
        <f t="shared" si="109"/>
        <v xml:space="preserve"> </v>
      </c>
      <c r="CD61" s="79" t="s">
        <v>221</v>
      </c>
      <c r="CE61" s="81">
        <v>0</v>
      </c>
      <c r="CF61" s="85"/>
      <c r="CG61" s="85"/>
      <c r="CH61" s="85"/>
      <c r="CI61" s="78"/>
      <c r="CJ61" s="78"/>
      <c r="CK61" s="74" t="str">
        <f t="shared" si="110"/>
        <v xml:space="preserve"> </v>
      </c>
      <c r="CL61" s="79" t="s">
        <v>221</v>
      </c>
      <c r="CM61" s="79" t="s">
        <v>221</v>
      </c>
      <c r="CN61" s="86" t="s">
        <v>221</v>
      </c>
      <c r="CO61" s="81">
        <v>0</v>
      </c>
      <c r="CP61" s="87"/>
      <c r="CQ61" s="83"/>
      <c r="CR61" s="83"/>
      <c r="CS61" s="82"/>
      <c r="CT61" s="82"/>
      <c r="CU61" s="74" t="str">
        <f t="shared" si="111"/>
        <v xml:space="preserve"> </v>
      </c>
      <c r="CV61" s="79" t="s">
        <v>221</v>
      </c>
      <c r="CW61" s="79" t="s">
        <v>221</v>
      </c>
      <c r="CX61" s="88" t="s">
        <v>221</v>
      </c>
      <c r="CY61" s="81">
        <v>0</v>
      </c>
      <c r="CZ61" s="89"/>
      <c r="DA61" s="67"/>
      <c r="DB61" s="67"/>
      <c r="DC61" s="78"/>
      <c r="DD61" s="78"/>
      <c r="DE61" s="74" t="str">
        <f t="shared" si="112"/>
        <v xml:space="preserve"> </v>
      </c>
      <c r="DF61" s="79" t="s">
        <v>221</v>
      </c>
      <c r="DG61" s="79" t="s">
        <v>221</v>
      </c>
      <c r="DH61" s="79" t="s">
        <v>221</v>
      </c>
      <c r="DI61" s="81">
        <v>0</v>
      </c>
      <c r="DJ61" s="87"/>
      <c r="DK61" s="83"/>
      <c r="DL61" s="83"/>
      <c r="DM61" s="82"/>
      <c r="DN61" s="82"/>
      <c r="DO61" s="74" t="str">
        <f t="shared" si="113"/>
        <v xml:space="preserve"> </v>
      </c>
      <c r="DP61" s="79" t="s">
        <v>221</v>
      </c>
      <c r="DQ61" s="79" t="s">
        <v>221</v>
      </c>
      <c r="DR61" s="79" t="s">
        <v>221</v>
      </c>
      <c r="DS61" s="81">
        <v>0</v>
      </c>
      <c r="DT61" s="89"/>
      <c r="DU61" s="67"/>
      <c r="DV61" s="67"/>
      <c r="DW61" s="78"/>
      <c r="DX61" s="78"/>
      <c r="DY61" s="74" t="str">
        <f t="shared" si="114"/>
        <v xml:space="preserve"> </v>
      </c>
      <c r="DZ61" s="94"/>
      <c r="EA61" s="94"/>
      <c r="EB61" s="94"/>
      <c r="EC61" s="94"/>
      <c r="ED61" s="87"/>
      <c r="EE61" s="83"/>
      <c r="EF61" s="83"/>
      <c r="EG61" s="82"/>
      <c r="EH61" s="82"/>
      <c r="EI61" s="74" t="str">
        <f t="shared" si="105"/>
        <v xml:space="preserve"> </v>
      </c>
      <c r="EJ61" s="92"/>
      <c r="EK61" s="92"/>
      <c r="EL61" s="92"/>
      <c r="EM61" s="92"/>
      <c r="EN61" s="89"/>
      <c r="EO61" s="67"/>
      <c r="EP61" s="67"/>
      <c r="EQ61" s="78"/>
      <c r="ER61" s="78"/>
      <c r="ES61" s="74" t="str">
        <f t="shared" si="106"/>
        <v xml:space="preserve"> </v>
      </c>
      <c r="ET61" s="94"/>
      <c r="EU61" s="94"/>
      <c r="EV61" s="94">
        <v>0</v>
      </c>
      <c r="EW61" s="76">
        <v>0</v>
      </c>
      <c r="EX61" s="87"/>
      <c r="EY61" s="83"/>
      <c r="EZ61" s="83"/>
      <c r="FA61" s="82"/>
      <c r="FB61" s="82"/>
      <c r="FC61" s="74" t="str">
        <f t="shared" si="115"/>
        <v xml:space="preserve"> </v>
      </c>
      <c r="FD61" s="92"/>
      <c r="FE61" s="92"/>
      <c r="FF61" s="92"/>
      <c r="FG61" s="92"/>
      <c r="FH61" s="76">
        <f t="shared" si="116"/>
        <v>0</v>
      </c>
      <c r="FI61" s="89"/>
      <c r="FJ61" s="67"/>
      <c r="FK61" s="67"/>
      <c r="FL61" s="78"/>
      <c r="FM61" s="78"/>
      <c r="FN61" s="74" t="str">
        <f t="shared" si="117"/>
        <v xml:space="preserve"> </v>
      </c>
      <c r="FO61" s="94"/>
      <c r="FP61" s="94"/>
      <c r="FQ61" s="94"/>
      <c r="FR61" s="94"/>
      <c r="FS61" s="76">
        <f t="shared" si="118"/>
        <v>0</v>
      </c>
      <c r="FT61" s="87"/>
      <c r="FU61" s="83"/>
      <c r="FV61" s="83"/>
      <c r="FW61" s="82"/>
      <c r="FX61" s="82"/>
      <c r="FY61" s="74" t="str">
        <f t="shared" si="119"/>
        <v xml:space="preserve"> </v>
      </c>
      <c r="FZ61" s="92"/>
      <c r="GA61" s="92"/>
      <c r="GB61" s="92"/>
      <c r="GC61" s="92"/>
      <c r="GD61" s="76">
        <f t="shared" si="120"/>
        <v>0</v>
      </c>
      <c r="GE61" s="62"/>
      <c r="GF61" s="96" t="s">
        <v>221</v>
      </c>
      <c r="GG61" s="96" t="s">
        <v>221</v>
      </c>
      <c r="GH61" s="63"/>
      <c r="GI61" s="63"/>
      <c r="GJ61" s="63"/>
      <c r="GK61" s="97">
        <f t="shared" si="84"/>
        <v>0</v>
      </c>
      <c r="GL61" s="98"/>
      <c r="GM61" s="98"/>
      <c r="GN61" s="97">
        <f t="shared" si="121"/>
        <v>0</v>
      </c>
      <c r="GO61" s="97" t="str">
        <f t="shared" si="122"/>
        <v xml:space="preserve"> </v>
      </c>
      <c r="GP61" s="62"/>
      <c r="GQ61" s="63"/>
      <c r="GR61" s="63"/>
      <c r="GS61" s="63"/>
      <c r="GT61" s="63"/>
      <c r="GU61" s="63"/>
      <c r="GV61" s="63"/>
      <c r="GW61" s="63"/>
      <c r="GX61" s="63"/>
      <c r="GY61" s="65" t="str">
        <f t="shared" si="138"/>
        <v/>
      </c>
      <c r="GZ61" s="65" t="str">
        <f t="shared" si="139"/>
        <v/>
      </c>
      <c r="HA61" s="63"/>
      <c r="HB61" s="63"/>
      <c r="HC61" s="63"/>
      <c r="HD61" s="63"/>
      <c r="HE61" s="63"/>
      <c r="HF61" s="63"/>
      <c r="HG61" s="63"/>
      <c r="HH61" s="63"/>
      <c r="HI61" s="63"/>
      <c r="HJ61" s="63"/>
      <c r="HK61" s="63"/>
      <c r="HL61" s="65" t="str">
        <f t="shared" si="140"/>
        <v/>
      </c>
      <c r="HM61" s="65" t="str">
        <f t="shared" si="124"/>
        <v/>
      </c>
      <c r="HN61" s="65" t="str">
        <f t="shared" si="141"/>
        <v/>
      </c>
      <c r="HO61" s="65" t="str">
        <f t="shared" si="142"/>
        <v/>
      </c>
      <c r="HP61" s="99" t="str">
        <f t="shared" si="130"/>
        <v/>
      </c>
      <c r="HQ61" s="99" t="str">
        <f t="shared" si="143"/>
        <v/>
      </c>
      <c r="HR61" s="63"/>
      <c r="HS61" s="63"/>
      <c r="HT61" s="63"/>
      <c r="HU61" s="63"/>
      <c r="HV61" s="63"/>
      <c r="HW61" s="63"/>
      <c r="HX61" s="63"/>
      <c r="HY61" s="63"/>
      <c r="HZ61" s="63"/>
      <c r="IA61" s="63"/>
      <c r="IB61" s="63"/>
      <c r="IC61" s="63"/>
      <c r="ID61" s="63"/>
      <c r="IE61" s="100"/>
      <c r="IF61" s="100"/>
      <c r="IG61" s="100"/>
      <c r="IH61" s="100"/>
      <c r="II61" s="100"/>
      <c r="IJ61" s="100"/>
      <c r="IK61" s="100"/>
      <c r="IL61" s="63"/>
      <c r="IM61" s="62"/>
      <c r="IN61" s="101"/>
      <c r="IO61" s="101"/>
      <c r="IP61" s="63"/>
      <c r="IQ61" s="63"/>
      <c r="IR61" s="63"/>
      <c r="IS61" s="63"/>
      <c r="IT61" s="63"/>
      <c r="IU61" s="63"/>
      <c r="IV61" s="63"/>
      <c r="IW61" s="63"/>
      <c r="IX61" s="63"/>
      <c r="IY61" s="63"/>
      <c r="IZ61" s="63"/>
      <c r="JA61" s="65">
        <f t="shared" si="107"/>
        <v>0</v>
      </c>
      <c r="JB61" s="63"/>
      <c r="JC61" s="101"/>
      <c r="JD61" s="101"/>
      <c r="JE61" s="63"/>
      <c r="JF61" s="63"/>
      <c r="JG61" s="63"/>
      <c r="JH61" s="63"/>
      <c r="JI61" s="63"/>
      <c r="JJ61" s="63"/>
      <c r="JK61" s="63"/>
      <c r="JL61" s="63"/>
      <c r="JM61" s="63"/>
      <c r="JN61" s="63"/>
      <c r="JO61" s="63"/>
      <c r="JP61" s="65">
        <f t="shared" si="133"/>
        <v>0</v>
      </c>
      <c r="JQ61" s="63"/>
      <c r="LM61" s="205"/>
      <c r="LN61" s="102">
        <f>IFERROR(ROWS($IL$8:IL61)," ")</f>
        <v>54</v>
      </c>
      <c r="LO61" s="103" t="str">
        <f>IFERROR(IF([1]Checklist!$C$3='GenInfo (2)'!E61,'GenInfo (2)'!LN61," ")," ")</f>
        <v xml:space="preserve"> </v>
      </c>
      <c r="LP61" s="104" t="str">
        <f>IFERROR(SMALL($LO$8:$LO$94,ROWS($IL$8:IL61))," ")</f>
        <v xml:space="preserve"> </v>
      </c>
      <c r="LQ61" s="102">
        <f>IFERROR(ROWS($IL$8:IL61)," ")</f>
        <v>54</v>
      </c>
      <c r="LR61" s="103" t="str">
        <f>IFERROR(IF([1]Checklist!$C$4='GenInfo (2)'!E61,'GenInfo (2)'!LQ61," ")," ")</f>
        <v xml:space="preserve"> </v>
      </c>
      <c r="LS61" s="104" t="str">
        <f>IFERROR(SMALL($LR$8:$LR$94,ROWS($IL$8:IL61))," ")</f>
        <v xml:space="preserve"> </v>
      </c>
      <c r="LT61" s="102">
        <f>IFERROR(ROWS($IL$8:IL61)," ")</f>
        <v>54</v>
      </c>
      <c r="LU61" s="103" t="str">
        <f>IFERROR(IF([1]Checklist!$C$5='GenInfo (2)'!E61,'GenInfo (2)'!LT61," ")," ")</f>
        <v xml:space="preserve"> </v>
      </c>
      <c r="LV61" s="104" t="str">
        <f>IFERROR(SMALL($LU$8:$LU$94,ROWS($IL$8:IL61))," ")</f>
        <v xml:space="preserve"> </v>
      </c>
      <c r="LW61" s="102">
        <f>IFERROR(ROWS($IL$8:IL61)," ")</f>
        <v>54</v>
      </c>
      <c r="LX61" s="103" t="str">
        <f>IFERROR(IF([1]Checklist!$C$6='GenInfo (2)'!E61,'GenInfo (2)'!LW61," ")," ")</f>
        <v xml:space="preserve"> </v>
      </c>
      <c r="LY61" s="104" t="str">
        <f>IFERROR(SMALL($LX$8:$LX$94,ROWS($IL$8:IL61))," ")</f>
        <v xml:space="preserve"> </v>
      </c>
      <c r="LZ61" s="102">
        <f>IFERROR(ROWS($IL$8:IL61)," ")</f>
        <v>54</v>
      </c>
      <c r="MA61" s="103" t="str">
        <f>IFERROR(IF([1]Checklist!$C$7='GenInfo (2)'!E61,'GenInfo (2)'!LZ61," ")," ")</f>
        <v xml:space="preserve"> </v>
      </c>
      <c r="MB61" s="104" t="str">
        <f>IFERROR(SMALL($MA$8:$MA$94,ROWS($IL$8:IL61))," ")</f>
        <v xml:space="preserve"> </v>
      </c>
      <c r="MC61" s="102">
        <f>IFERROR(ROWS($IL$8:IL61)," ")</f>
        <v>54</v>
      </c>
      <c r="MD61" s="103" t="str">
        <f>IFERROR(IF([1]Checklist!$C$8='GenInfo (2)'!E61,'GenInfo (2)'!MC61," ")," ")</f>
        <v xml:space="preserve"> </v>
      </c>
      <c r="ME61" s="104" t="str">
        <f>IFERROR(SMALL($MD$8:$MD$94,ROWS($IL$8:IL61))," ")</f>
        <v xml:space="preserve"> </v>
      </c>
      <c r="MF61" s="102">
        <f>IFERROR(ROWS($IL$8:IL61)," ")</f>
        <v>54</v>
      </c>
      <c r="MG61" s="103" t="str">
        <f>IFERROR(IF([1]Checklist!$C$9='GenInfo (2)'!E61,'GenInfo (2)'!MF61," ")," ")</f>
        <v xml:space="preserve"> </v>
      </c>
      <c r="MH61" s="104" t="str">
        <f>IFERROR(SMALL($MG$8:$MG$94,ROWS($IL$8:IL61))," ")</f>
        <v xml:space="preserve"> </v>
      </c>
      <c r="MI61" s="102">
        <f>IFERROR(ROWS($IL$8:$IL61)," ")</f>
        <v>54</v>
      </c>
      <c r="MJ61" s="103" t="str">
        <f>IFERROR(IF([1]Checklist!$C$10='GenInfo (2)'!E61,'GenInfo (2)'!MI61," ")," ")</f>
        <v xml:space="preserve"> </v>
      </c>
      <c r="MK61" s="104" t="str">
        <f>IFERROR(SMALL($MJ$8:$MJ$94,ROWS($IL$8:IL61))," ")</f>
        <v xml:space="preserve"> </v>
      </c>
      <c r="ML61" s="102">
        <f>IFERROR(ROWS($IL$8:IL61)," ")</f>
        <v>54</v>
      </c>
      <c r="MM61" s="103" t="str">
        <f>IFERROR(IF([1]Checklist!$C$11='GenInfo (2)'!E61,'GenInfo (2)'!ML61," ")," ")</f>
        <v xml:space="preserve"> </v>
      </c>
      <c r="MN61" s="104" t="str">
        <f>IFERROR(SMALL($MM$8:$MM$94,ROWS($IL$8:IL61))," ")</f>
        <v xml:space="preserve"> </v>
      </c>
      <c r="MO61" s="102">
        <f>IFERROR(ROWS($IL$8:IL61)," ")</f>
        <v>54</v>
      </c>
      <c r="MP61" s="103" t="str">
        <f>IFERROR(IF([1]Checklist!$C$12='GenInfo (2)'!E61,'GenInfo (2)'!MO61," ")," ")</f>
        <v xml:space="preserve"> </v>
      </c>
      <c r="MQ61" s="104" t="str">
        <f>IFERROR(SMALL($MP$8:$MP$94,ROWS($IL$8:IL61))," ")</f>
        <v xml:space="preserve"> </v>
      </c>
      <c r="MR61" s="102">
        <f>IFERROR(ROWS($IL$8:IL61)," ")</f>
        <v>54</v>
      </c>
      <c r="MS61" s="103" t="str">
        <f>IFERROR(IF([1]Checklist!$C$13='GenInfo (2)'!E61,'GenInfo (2)'!MR61," ")," ")</f>
        <v xml:space="preserve"> </v>
      </c>
      <c r="MT61" s="104" t="str">
        <f>IFERROR(SMALL($MS$8:$MS$94,ROWS($IL$8:IL61))," ")</f>
        <v xml:space="preserve"> </v>
      </c>
      <c r="MU61" s="102">
        <f>IFERROR(ROWS($IL$8:IL61)," ")</f>
        <v>54</v>
      </c>
      <c r="MV61" s="103" t="str">
        <f>IFERROR(IF([1]Checklist!$C$14='GenInfo (2)'!E61,'GenInfo (2)'!MU61," ")," ")</f>
        <v xml:space="preserve"> </v>
      </c>
      <c r="MW61" s="104" t="str">
        <f>IFERROR(SMALL($MV$8:$MV$94,ROWS($IL$8:IL61))," ")</f>
        <v xml:space="preserve"> </v>
      </c>
      <c r="MX61" s="102">
        <f>IFERROR(ROWS($IL$8:IL61)," ")</f>
        <v>54</v>
      </c>
      <c r="MY61" s="103" t="str">
        <f>IFERROR(IF([1]Checklist!$C$15='GenInfo (2)'!E61,'GenInfo (2)'!MX61," ")," ")</f>
        <v xml:space="preserve"> </v>
      </c>
      <c r="MZ61" s="104" t="str">
        <f>IFERROR(SMALL($MY$8:$MY$94,ROWS($IL$8:IL61))," ")</f>
        <v xml:space="preserve"> </v>
      </c>
      <c r="NA61" s="102">
        <f>IFERROR(ROWS($IL$8:IL61)," ")</f>
        <v>54</v>
      </c>
      <c r="NB61" s="103" t="str">
        <f>IFERROR(IF([1]Checklist!$C$16='GenInfo (2)'!E61,'GenInfo (2)'!NA61," ")," ")</f>
        <v xml:space="preserve"> </v>
      </c>
      <c r="NC61" s="104" t="str">
        <f>IFERROR(SMALL($NB$8:$NB$94,ROWS($IL$8:IL61))," ")</f>
        <v xml:space="preserve"> </v>
      </c>
      <c r="ND61" s="102">
        <f>IFERROR(ROWS($IL$8:IL61)," ")</f>
        <v>54</v>
      </c>
      <c r="NE61" s="103" t="str">
        <f>IFERROR(IF([1]Checklist!$C$17='GenInfo (2)'!E61,'GenInfo (2)'!ND61," ")," ")</f>
        <v xml:space="preserve"> </v>
      </c>
      <c r="NF61" s="104" t="str">
        <f>IFERROR(SMALL($NE$8:$NE$94,ROWS($IL$8:IL61))," ")</f>
        <v xml:space="preserve"> </v>
      </c>
    </row>
    <row r="62" spans="1:370" ht="14.25" x14ac:dyDescent="0.45">
      <c r="E62" s="64"/>
      <c r="F62" s="63"/>
      <c r="G62" s="64"/>
      <c r="H62" s="63"/>
      <c r="I62" s="63"/>
      <c r="J62" s="63"/>
      <c r="K62" s="62"/>
      <c r="L62" s="67"/>
      <c r="M62" s="67"/>
      <c r="N62" s="67"/>
      <c r="O62" s="68"/>
      <c r="P62" s="67"/>
      <c r="Q62" s="67"/>
      <c r="R62" s="63"/>
      <c r="S62" s="67"/>
      <c r="T62" s="63"/>
      <c r="U62" s="62"/>
      <c r="V62" s="63"/>
      <c r="W62" s="63"/>
      <c r="X62" s="69"/>
      <c r="Y62" s="63"/>
      <c r="Z62" s="69"/>
      <c r="AA62" s="62"/>
      <c r="AB62" s="63"/>
      <c r="AC62" s="63"/>
      <c r="AD62" s="63"/>
      <c r="AE62" s="63"/>
      <c r="AF62" s="63"/>
      <c r="AG62" s="63"/>
      <c r="AH62" s="63"/>
      <c r="AI62" s="63"/>
      <c r="AJ62" s="63"/>
      <c r="AK62" s="62"/>
      <c r="AL62" s="71">
        <f t="shared" si="95"/>
        <v>0</v>
      </c>
      <c r="AM62" s="71">
        <f t="shared" ca="1" si="137"/>
        <v>122</v>
      </c>
      <c r="AN62" s="63"/>
      <c r="AO62" s="72" t="str">
        <f t="shared" ca="1" si="97"/>
        <v/>
      </c>
      <c r="AP62" s="63"/>
      <c r="AQ62" s="73"/>
      <c r="AR62" s="70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2"/>
      <c r="BE62" s="71">
        <f t="shared" si="135"/>
        <v>0</v>
      </c>
      <c r="BF62" s="71">
        <f t="shared" si="135"/>
        <v>0</v>
      </c>
      <c r="BG62" s="71">
        <f t="shared" si="99"/>
        <v>0</v>
      </c>
      <c r="BH62" s="74" t="str">
        <f t="shared" si="100"/>
        <v xml:space="preserve"> </v>
      </c>
      <c r="BI62" s="75" t="str">
        <f t="shared" si="101"/>
        <v xml:space="preserve"> </v>
      </c>
      <c r="BJ62" s="71">
        <f t="shared" si="102"/>
        <v>0</v>
      </c>
      <c r="BK62" s="75" t="str">
        <f t="shared" si="103"/>
        <v xml:space="preserve"> </v>
      </c>
      <c r="BL62" s="76">
        <f t="shared" si="136"/>
        <v>0</v>
      </c>
      <c r="BM62" s="77">
        <f t="shared" si="136"/>
        <v>0</v>
      </c>
      <c r="BN62" s="78"/>
      <c r="BO62" s="67"/>
      <c r="BP62" s="67"/>
      <c r="BQ62" s="63"/>
      <c r="BR62" s="63"/>
      <c r="BS62" s="74" t="str">
        <f t="shared" si="108"/>
        <v xml:space="preserve"> </v>
      </c>
      <c r="BT62" s="79" t="s">
        <v>221</v>
      </c>
      <c r="BU62" s="79" t="s">
        <v>221</v>
      </c>
      <c r="BV62" s="80">
        <v>0</v>
      </c>
      <c r="BW62" s="81">
        <v>0</v>
      </c>
      <c r="BX62" s="82"/>
      <c r="BY62" s="83"/>
      <c r="BZ62" s="83"/>
      <c r="CA62" s="84"/>
      <c r="CB62" s="84"/>
      <c r="CC62" s="74" t="str">
        <f t="shared" si="109"/>
        <v xml:space="preserve"> </v>
      </c>
      <c r="CD62" s="79" t="s">
        <v>221</v>
      </c>
      <c r="CE62" s="81">
        <v>0</v>
      </c>
      <c r="CF62" s="85"/>
      <c r="CG62" s="85"/>
      <c r="CH62" s="85"/>
      <c r="CI62" s="78"/>
      <c r="CJ62" s="78"/>
      <c r="CK62" s="74" t="str">
        <f t="shared" si="110"/>
        <v xml:space="preserve"> </v>
      </c>
      <c r="CL62" s="79" t="s">
        <v>221</v>
      </c>
      <c r="CM62" s="79" t="s">
        <v>221</v>
      </c>
      <c r="CN62" s="86" t="s">
        <v>221</v>
      </c>
      <c r="CO62" s="81">
        <v>0</v>
      </c>
      <c r="CP62" s="87"/>
      <c r="CQ62" s="83"/>
      <c r="CR62" s="83"/>
      <c r="CS62" s="82"/>
      <c r="CT62" s="82"/>
      <c r="CU62" s="74" t="str">
        <f t="shared" si="111"/>
        <v xml:space="preserve"> </v>
      </c>
      <c r="CV62" s="79" t="s">
        <v>221</v>
      </c>
      <c r="CW62" s="79" t="s">
        <v>221</v>
      </c>
      <c r="CX62" s="88" t="s">
        <v>221</v>
      </c>
      <c r="CY62" s="81">
        <v>0</v>
      </c>
      <c r="CZ62" s="89"/>
      <c r="DA62" s="67"/>
      <c r="DB62" s="67"/>
      <c r="DC62" s="78"/>
      <c r="DD62" s="78"/>
      <c r="DE62" s="74" t="str">
        <f t="shared" si="112"/>
        <v xml:space="preserve"> </v>
      </c>
      <c r="DF62" s="79" t="s">
        <v>221</v>
      </c>
      <c r="DG62" s="79" t="s">
        <v>221</v>
      </c>
      <c r="DH62" s="79" t="s">
        <v>221</v>
      </c>
      <c r="DI62" s="81">
        <v>0</v>
      </c>
      <c r="DJ62" s="87"/>
      <c r="DK62" s="83"/>
      <c r="DL62" s="83"/>
      <c r="DM62" s="82"/>
      <c r="DN62" s="82"/>
      <c r="DO62" s="74" t="str">
        <f t="shared" si="113"/>
        <v xml:space="preserve"> </v>
      </c>
      <c r="DP62" s="79" t="s">
        <v>221</v>
      </c>
      <c r="DQ62" s="79" t="s">
        <v>221</v>
      </c>
      <c r="DR62" s="79" t="s">
        <v>221</v>
      </c>
      <c r="DS62" s="81">
        <v>0</v>
      </c>
      <c r="DT62" s="89"/>
      <c r="DU62" s="67"/>
      <c r="DV62" s="67"/>
      <c r="DW62" s="78"/>
      <c r="DX62" s="78"/>
      <c r="DY62" s="74" t="str">
        <f t="shared" si="114"/>
        <v xml:space="preserve"> </v>
      </c>
      <c r="DZ62" s="94"/>
      <c r="EA62" s="94"/>
      <c r="EB62" s="94"/>
      <c r="EC62" s="94"/>
      <c r="ED62" s="87"/>
      <c r="EE62" s="83"/>
      <c r="EF62" s="83"/>
      <c r="EG62" s="82"/>
      <c r="EH62" s="82"/>
      <c r="EI62" s="74" t="str">
        <f t="shared" si="105"/>
        <v xml:space="preserve"> </v>
      </c>
      <c r="EJ62" s="92"/>
      <c r="EK62" s="92"/>
      <c r="EL62" s="92"/>
      <c r="EM62" s="92"/>
      <c r="EN62" s="89"/>
      <c r="EO62" s="67"/>
      <c r="EP62" s="67"/>
      <c r="EQ62" s="78"/>
      <c r="ER62" s="78"/>
      <c r="ES62" s="74" t="str">
        <f t="shared" si="106"/>
        <v xml:space="preserve"> </v>
      </c>
      <c r="ET62" s="94"/>
      <c r="EU62" s="94"/>
      <c r="EV62" s="94">
        <v>0</v>
      </c>
      <c r="EW62" s="76">
        <v>0</v>
      </c>
      <c r="EX62" s="87"/>
      <c r="EY62" s="83"/>
      <c r="EZ62" s="83"/>
      <c r="FA62" s="82"/>
      <c r="FB62" s="82"/>
      <c r="FC62" s="74" t="str">
        <f t="shared" si="115"/>
        <v xml:space="preserve"> </v>
      </c>
      <c r="FD62" s="92"/>
      <c r="FE62" s="92"/>
      <c r="FF62" s="92"/>
      <c r="FG62" s="92"/>
      <c r="FH62" s="76">
        <f t="shared" si="116"/>
        <v>0</v>
      </c>
      <c r="FI62" s="89"/>
      <c r="FJ62" s="67"/>
      <c r="FK62" s="67"/>
      <c r="FL62" s="78"/>
      <c r="FM62" s="78"/>
      <c r="FN62" s="74" t="str">
        <f t="shared" si="117"/>
        <v xml:space="preserve"> </v>
      </c>
      <c r="FO62" s="94"/>
      <c r="FP62" s="94"/>
      <c r="FQ62" s="94"/>
      <c r="FR62" s="94"/>
      <c r="FS62" s="76">
        <f t="shared" si="118"/>
        <v>0</v>
      </c>
      <c r="FT62" s="87"/>
      <c r="FU62" s="83"/>
      <c r="FV62" s="83"/>
      <c r="FW62" s="82"/>
      <c r="FX62" s="82"/>
      <c r="FY62" s="74" t="str">
        <f t="shared" si="119"/>
        <v xml:space="preserve"> </v>
      </c>
      <c r="FZ62" s="92"/>
      <c r="GA62" s="92"/>
      <c r="GB62" s="92"/>
      <c r="GC62" s="92"/>
      <c r="GD62" s="76">
        <f t="shared" si="120"/>
        <v>0</v>
      </c>
      <c r="GE62" s="62"/>
      <c r="GF62" s="96" t="s">
        <v>221</v>
      </c>
      <c r="GG62" s="96" t="s">
        <v>221</v>
      </c>
      <c r="GH62" s="63"/>
      <c r="GI62" s="63"/>
      <c r="GJ62" s="63"/>
      <c r="GK62" s="97">
        <f t="shared" si="84"/>
        <v>0</v>
      </c>
      <c r="GL62" s="98"/>
      <c r="GM62" s="98"/>
      <c r="GN62" s="97">
        <f t="shared" si="121"/>
        <v>0</v>
      </c>
      <c r="GO62" s="97" t="str">
        <f t="shared" si="122"/>
        <v xml:space="preserve"> </v>
      </c>
      <c r="GP62" s="62"/>
      <c r="GQ62" s="63"/>
      <c r="GR62" s="63"/>
      <c r="GS62" s="63"/>
      <c r="GT62" s="63"/>
      <c r="GU62" s="63"/>
      <c r="GV62" s="63"/>
      <c r="GW62" s="63"/>
      <c r="GX62" s="63"/>
      <c r="GY62" s="65" t="str">
        <f t="shared" si="138"/>
        <v/>
      </c>
      <c r="GZ62" s="65" t="str">
        <f t="shared" si="139"/>
        <v/>
      </c>
      <c r="HA62" s="63"/>
      <c r="HB62" s="63"/>
      <c r="HC62" s="63"/>
      <c r="HD62" s="63"/>
      <c r="HE62" s="63"/>
      <c r="HF62" s="63"/>
      <c r="HG62" s="63"/>
      <c r="HH62" s="63"/>
      <c r="HI62" s="63"/>
      <c r="HJ62" s="63"/>
      <c r="HK62" s="63"/>
      <c r="HL62" s="65" t="str">
        <f t="shared" si="140"/>
        <v/>
      </c>
      <c r="HM62" s="65" t="str">
        <f t="shared" si="124"/>
        <v/>
      </c>
      <c r="HN62" s="65" t="str">
        <f t="shared" si="141"/>
        <v/>
      </c>
      <c r="HO62" s="65" t="str">
        <f t="shared" si="142"/>
        <v/>
      </c>
      <c r="HP62" s="99" t="str">
        <f t="shared" si="130"/>
        <v/>
      </c>
      <c r="HQ62" s="99" t="str">
        <f t="shared" si="143"/>
        <v/>
      </c>
      <c r="HR62" s="63"/>
      <c r="HS62" s="63"/>
      <c r="HT62" s="63"/>
      <c r="HU62" s="63"/>
      <c r="HV62" s="63"/>
      <c r="HW62" s="63"/>
      <c r="HX62" s="63"/>
      <c r="HY62" s="63"/>
      <c r="HZ62" s="63"/>
      <c r="IA62" s="63"/>
      <c r="IB62" s="63"/>
      <c r="IC62" s="63"/>
      <c r="ID62" s="63"/>
      <c r="IE62" s="100"/>
      <c r="IF62" s="100"/>
      <c r="IG62" s="100"/>
      <c r="IH62" s="100"/>
      <c r="II62" s="100"/>
      <c r="IJ62" s="100"/>
      <c r="IK62" s="100"/>
      <c r="IL62" s="63"/>
      <c r="IM62" s="62"/>
      <c r="IN62" s="101"/>
      <c r="IO62" s="101"/>
      <c r="IP62" s="63"/>
      <c r="IQ62" s="63"/>
      <c r="IR62" s="63"/>
      <c r="IS62" s="63"/>
      <c r="IT62" s="63"/>
      <c r="IU62" s="63"/>
      <c r="IV62" s="63"/>
      <c r="IW62" s="63"/>
      <c r="IX62" s="63"/>
      <c r="IY62" s="63"/>
      <c r="IZ62" s="63"/>
      <c r="JA62" s="65">
        <f t="shared" si="107"/>
        <v>0</v>
      </c>
      <c r="JB62" s="63"/>
      <c r="JC62" s="101"/>
      <c r="JD62" s="101"/>
      <c r="JE62" s="63"/>
      <c r="JF62" s="63"/>
      <c r="JG62" s="63"/>
      <c r="JH62" s="63"/>
      <c r="JI62" s="63"/>
      <c r="JJ62" s="63"/>
      <c r="JK62" s="63"/>
      <c r="JL62" s="63"/>
      <c r="JM62" s="63"/>
      <c r="JN62" s="63"/>
      <c r="JO62" s="63"/>
      <c r="JP62" s="65">
        <f t="shared" si="133"/>
        <v>0</v>
      </c>
      <c r="JQ62" s="63"/>
      <c r="LM62" s="205"/>
      <c r="LN62" s="102">
        <f>IFERROR(ROWS($IL$8:IL62)," ")</f>
        <v>55</v>
      </c>
      <c r="LO62" s="103" t="str">
        <f>IFERROR(IF([1]Checklist!$C$3='GenInfo (2)'!E62,'GenInfo (2)'!LN62," ")," ")</f>
        <v xml:space="preserve"> </v>
      </c>
      <c r="LP62" s="104" t="str">
        <f>IFERROR(SMALL($LO$8:$LO$94,ROWS($IL$8:IL62))," ")</f>
        <v xml:space="preserve"> </v>
      </c>
      <c r="LQ62" s="102">
        <f>IFERROR(ROWS($IL$8:IL62)," ")</f>
        <v>55</v>
      </c>
      <c r="LR62" s="103" t="str">
        <f>IFERROR(IF([1]Checklist!$C$4='GenInfo (2)'!E62,'GenInfo (2)'!LQ62," ")," ")</f>
        <v xml:space="preserve"> </v>
      </c>
      <c r="LS62" s="104" t="str">
        <f>IFERROR(SMALL($LR$8:$LR$94,ROWS($IL$8:IL62))," ")</f>
        <v xml:space="preserve"> </v>
      </c>
      <c r="LT62" s="102">
        <f>IFERROR(ROWS($IL$8:IL62)," ")</f>
        <v>55</v>
      </c>
      <c r="LU62" s="103" t="str">
        <f>IFERROR(IF([1]Checklist!$C$5='GenInfo (2)'!E62,'GenInfo (2)'!LT62," ")," ")</f>
        <v xml:space="preserve"> </v>
      </c>
      <c r="LV62" s="104" t="str">
        <f>IFERROR(SMALL($LU$8:$LU$94,ROWS($IL$8:IL62))," ")</f>
        <v xml:space="preserve"> </v>
      </c>
      <c r="LW62" s="102">
        <f>IFERROR(ROWS($IL$8:IL62)," ")</f>
        <v>55</v>
      </c>
      <c r="LX62" s="103" t="str">
        <f>IFERROR(IF([1]Checklist!$C$6='GenInfo (2)'!E62,'GenInfo (2)'!LW62," ")," ")</f>
        <v xml:space="preserve"> </v>
      </c>
      <c r="LY62" s="104" t="str">
        <f>IFERROR(SMALL($LX$8:$LX$94,ROWS($IL$8:IL62))," ")</f>
        <v xml:space="preserve"> </v>
      </c>
      <c r="LZ62" s="102">
        <f>IFERROR(ROWS($IL$8:IL62)," ")</f>
        <v>55</v>
      </c>
      <c r="MA62" s="103" t="str">
        <f>IFERROR(IF([1]Checklist!$C$7='GenInfo (2)'!E62,'GenInfo (2)'!LZ62," ")," ")</f>
        <v xml:space="preserve"> </v>
      </c>
      <c r="MB62" s="104" t="str">
        <f>IFERROR(SMALL($MA$8:$MA$94,ROWS($IL$8:IL62))," ")</f>
        <v xml:space="preserve"> </v>
      </c>
      <c r="MC62" s="102">
        <f>IFERROR(ROWS($IL$8:IL62)," ")</f>
        <v>55</v>
      </c>
      <c r="MD62" s="103" t="str">
        <f>IFERROR(IF([1]Checklist!$C$8='GenInfo (2)'!E62,'GenInfo (2)'!MC62," ")," ")</f>
        <v xml:space="preserve"> </v>
      </c>
      <c r="ME62" s="104" t="str">
        <f>IFERROR(SMALL($MD$8:$MD$94,ROWS($IL$8:IL62))," ")</f>
        <v xml:space="preserve"> </v>
      </c>
      <c r="MF62" s="102">
        <f>IFERROR(ROWS($IL$8:IL62)," ")</f>
        <v>55</v>
      </c>
      <c r="MG62" s="103" t="str">
        <f>IFERROR(IF([1]Checklist!$C$9='GenInfo (2)'!E62,'GenInfo (2)'!MF62," ")," ")</f>
        <v xml:space="preserve"> </v>
      </c>
      <c r="MH62" s="104" t="str">
        <f>IFERROR(SMALL($MG$8:$MG$94,ROWS($IL$8:IL62))," ")</f>
        <v xml:space="preserve"> </v>
      </c>
      <c r="MI62" s="102">
        <f>IFERROR(ROWS($IL$8:$IL62)," ")</f>
        <v>55</v>
      </c>
      <c r="MJ62" s="103" t="str">
        <f>IFERROR(IF([1]Checklist!$C$10='GenInfo (2)'!E62,'GenInfo (2)'!MI62," ")," ")</f>
        <v xml:space="preserve"> </v>
      </c>
      <c r="MK62" s="104" t="str">
        <f>IFERROR(SMALL($MJ$8:$MJ$94,ROWS($IL$8:IL62))," ")</f>
        <v xml:space="preserve"> </v>
      </c>
      <c r="ML62" s="102">
        <f>IFERROR(ROWS($IL$8:IL62)," ")</f>
        <v>55</v>
      </c>
      <c r="MM62" s="103" t="str">
        <f>IFERROR(IF([1]Checklist!$C$11='GenInfo (2)'!E62,'GenInfo (2)'!ML62," ")," ")</f>
        <v xml:space="preserve"> </v>
      </c>
      <c r="MN62" s="104" t="str">
        <f>IFERROR(SMALL($MM$8:$MM$94,ROWS($IL$8:IL62))," ")</f>
        <v xml:space="preserve"> </v>
      </c>
      <c r="MO62" s="102">
        <f>IFERROR(ROWS($IL$8:IL62)," ")</f>
        <v>55</v>
      </c>
      <c r="MP62" s="103" t="str">
        <f>IFERROR(IF([1]Checklist!$C$12='GenInfo (2)'!E62,'GenInfo (2)'!MO62," ")," ")</f>
        <v xml:space="preserve"> </v>
      </c>
      <c r="MQ62" s="104" t="str">
        <f>IFERROR(SMALL($MP$8:$MP$94,ROWS($IL$8:IL62))," ")</f>
        <v xml:space="preserve"> </v>
      </c>
      <c r="MR62" s="102">
        <f>IFERROR(ROWS($IL$8:IL62)," ")</f>
        <v>55</v>
      </c>
      <c r="MS62" s="103" t="str">
        <f>IFERROR(IF([1]Checklist!$C$13='GenInfo (2)'!E62,'GenInfo (2)'!MR62," ")," ")</f>
        <v xml:space="preserve"> </v>
      </c>
      <c r="MT62" s="104" t="str">
        <f>IFERROR(SMALL($MS$8:$MS$94,ROWS($IL$8:IL62))," ")</f>
        <v xml:space="preserve"> </v>
      </c>
      <c r="MU62" s="102">
        <f>IFERROR(ROWS($IL$8:IL62)," ")</f>
        <v>55</v>
      </c>
      <c r="MV62" s="103" t="str">
        <f>IFERROR(IF([1]Checklist!$C$14='GenInfo (2)'!E62,'GenInfo (2)'!MU62," ")," ")</f>
        <v xml:space="preserve"> </v>
      </c>
      <c r="MW62" s="104" t="str">
        <f>IFERROR(SMALL($MV$8:$MV$94,ROWS($IL$8:IL62))," ")</f>
        <v xml:space="preserve"> </v>
      </c>
      <c r="MX62" s="102">
        <f>IFERROR(ROWS($IL$8:IL62)," ")</f>
        <v>55</v>
      </c>
      <c r="MY62" s="103" t="str">
        <f>IFERROR(IF([1]Checklist!$C$15='GenInfo (2)'!E62,'GenInfo (2)'!MX62," ")," ")</f>
        <v xml:space="preserve"> </v>
      </c>
      <c r="MZ62" s="104" t="str">
        <f>IFERROR(SMALL($MY$8:$MY$94,ROWS($IL$8:IL62))," ")</f>
        <v xml:space="preserve"> </v>
      </c>
      <c r="NA62" s="102">
        <f>IFERROR(ROWS($IL$8:IL62)," ")</f>
        <v>55</v>
      </c>
      <c r="NB62" s="103" t="str">
        <f>IFERROR(IF([1]Checklist!$C$16='GenInfo (2)'!E62,'GenInfo (2)'!NA62," ")," ")</f>
        <v xml:space="preserve"> </v>
      </c>
      <c r="NC62" s="104" t="str">
        <f>IFERROR(SMALL($NB$8:$NB$94,ROWS($IL$8:IL62))," ")</f>
        <v xml:space="preserve"> </v>
      </c>
      <c r="ND62" s="102">
        <f>IFERROR(ROWS($IL$8:IL62)," ")</f>
        <v>55</v>
      </c>
      <c r="NE62" s="103" t="str">
        <f>IFERROR(IF([1]Checklist!$C$17='GenInfo (2)'!E62,'GenInfo (2)'!ND62," ")," ")</f>
        <v xml:space="preserve"> </v>
      </c>
      <c r="NF62" s="104" t="str">
        <f>IFERROR(SMALL($NE$8:$NE$94,ROWS($IL$8:IL62))," ")</f>
        <v xml:space="preserve"> </v>
      </c>
    </row>
    <row r="63" spans="1:370" ht="14.25" x14ac:dyDescent="0.45">
      <c r="E63" s="64"/>
      <c r="F63" s="63"/>
      <c r="G63" s="64"/>
      <c r="H63" s="63"/>
      <c r="I63" s="63"/>
      <c r="J63" s="63"/>
      <c r="K63" s="62"/>
      <c r="L63" s="67"/>
      <c r="M63" s="67"/>
      <c r="N63" s="67"/>
      <c r="O63" s="68"/>
      <c r="P63" s="67"/>
      <c r="Q63" s="67"/>
      <c r="R63" s="63"/>
      <c r="S63" s="67"/>
      <c r="T63" s="63"/>
      <c r="U63" s="62"/>
      <c r="V63" s="63"/>
      <c r="W63" s="63"/>
      <c r="X63" s="69"/>
      <c r="Y63" s="63"/>
      <c r="Z63" s="69"/>
      <c r="AA63" s="62"/>
      <c r="AB63" s="63"/>
      <c r="AC63" s="63"/>
      <c r="AD63" s="63"/>
      <c r="AE63" s="63"/>
      <c r="AF63" s="63"/>
      <c r="AG63" s="63"/>
      <c r="AH63" s="63"/>
      <c r="AI63" s="63"/>
      <c r="AJ63" s="63"/>
      <c r="AK63" s="62"/>
      <c r="AL63" s="71">
        <f t="shared" si="95"/>
        <v>0</v>
      </c>
      <c r="AM63" s="71">
        <f t="shared" ca="1" si="137"/>
        <v>122</v>
      </c>
      <c r="AN63" s="63"/>
      <c r="AO63" s="72" t="str">
        <f t="shared" ca="1" si="97"/>
        <v/>
      </c>
      <c r="AP63" s="63"/>
      <c r="AQ63" s="73"/>
      <c r="AR63" s="70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2"/>
      <c r="BE63" s="71">
        <f t="shared" si="135"/>
        <v>0</v>
      </c>
      <c r="BF63" s="71">
        <f t="shared" si="135"/>
        <v>0</v>
      </c>
      <c r="BG63" s="71">
        <f t="shared" si="99"/>
        <v>0</v>
      </c>
      <c r="BH63" s="74" t="str">
        <f t="shared" si="100"/>
        <v xml:space="preserve"> </v>
      </c>
      <c r="BI63" s="75" t="str">
        <f t="shared" si="101"/>
        <v xml:space="preserve"> </v>
      </c>
      <c r="BJ63" s="71">
        <f t="shared" si="102"/>
        <v>0</v>
      </c>
      <c r="BK63" s="75" t="str">
        <f t="shared" si="103"/>
        <v xml:space="preserve"> </v>
      </c>
      <c r="BL63" s="76">
        <f t="shared" si="136"/>
        <v>0</v>
      </c>
      <c r="BM63" s="77">
        <f t="shared" si="136"/>
        <v>0</v>
      </c>
      <c r="BN63" s="78"/>
      <c r="BO63" s="67"/>
      <c r="BP63" s="67"/>
      <c r="BQ63" s="63"/>
      <c r="BR63" s="63"/>
      <c r="BS63" s="74" t="str">
        <f t="shared" si="108"/>
        <v xml:space="preserve"> </v>
      </c>
      <c r="BT63" s="79" t="s">
        <v>221</v>
      </c>
      <c r="BU63" s="79" t="s">
        <v>221</v>
      </c>
      <c r="BV63" s="80">
        <v>0</v>
      </c>
      <c r="BW63" s="81">
        <v>0</v>
      </c>
      <c r="BX63" s="82"/>
      <c r="BY63" s="83"/>
      <c r="BZ63" s="83"/>
      <c r="CA63" s="84"/>
      <c r="CB63" s="84"/>
      <c r="CC63" s="74" t="str">
        <f t="shared" si="109"/>
        <v xml:space="preserve"> </v>
      </c>
      <c r="CD63" s="79" t="s">
        <v>221</v>
      </c>
      <c r="CE63" s="81">
        <v>0</v>
      </c>
      <c r="CF63" s="85"/>
      <c r="CG63" s="85"/>
      <c r="CH63" s="85"/>
      <c r="CI63" s="78"/>
      <c r="CJ63" s="78"/>
      <c r="CK63" s="74" t="str">
        <f t="shared" si="110"/>
        <v xml:space="preserve"> </v>
      </c>
      <c r="CL63" s="79" t="s">
        <v>221</v>
      </c>
      <c r="CM63" s="79" t="s">
        <v>221</v>
      </c>
      <c r="CN63" s="86" t="s">
        <v>221</v>
      </c>
      <c r="CO63" s="81">
        <v>0</v>
      </c>
      <c r="CP63" s="87"/>
      <c r="CQ63" s="83"/>
      <c r="CR63" s="83"/>
      <c r="CS63" s="82"/>
      <c r="CT63" s="82"/>
      <c r="CU63" s="74" t="str">
        <f t="shared" si="111"/>
        <v xml:space="preserve"> </v>
      </c>
      <c r="CV63" s="79" t="s">
        <v>221</v>
      </c>
      <c r="CW63" s="79" t="s">
        <v>221</v>
      </c>
      <c r="CX63" s="88" t="s">
        <v>221</v>
      </c>
      <c r="CY63" s="81">
        <v>0</v>
      </c>
      <c r="CZ63" s="89"/>
      <c r="DA63" s="67"/>
      <c r="DB63" s="67"/>
      <c r="DC63" s="78"/>
      <c r="DD63" s="78"/>
      <c r="DE63" s="74" t="str">
        <f t="shared" si="112"/>
        <v xml:space="preserve"> </v>
      </c>
      <c r="DF63" s="79" t="s">
        <v>221</v>
      </c>
      <c r="DG63" s="79" t="s">
        <v>221</v>
      </c>
      <c r="DH63" s="79" t="s">
        <v>221</v>
      </c>
      <c r="DI63" s="81">
        <v>0</v>
      </c>
      <c r="DJ63" s="87"/>
      <c r="DK63" s="83"/>
      <c r="DL63" s="83"/>
      <c r="DM63" s="82"/>
      <c r="DN63" s="82"/>
      <c r="DO63" s="74" t="str">
        <f t="shared" si="113"/>
        <v xml:space="preserve"> </v>
      </c>
      <c r="DP63" s="79" t="s">
        <v>221</v>
      </c>
      <c r="DQ63" s="79" t="s">
        <v>221</v>
      </c>
      <c r="DR63" s="79" t="s">
        <v>221</v>
      </c>
      <c r="DS63" s="81">
        <v>0</v>
      </c>
      <c r="DT63" s="89"/>
      <c r="DU63" s="67"/>
      <c r="DV63" s="67"/>
      <c r="DW63" s="78"/>
      <c r="DX63" s="78"/>
      <c r="DY63" s="74" t="str">
        <f t="shared" si="114"/>
        <v xml:space="preserve"> </v>
      </c>
      <c r="DZ63" s="94"/>
      <c r="EA63" s="94"/>
      <c r="EB63" s="94"/>
      <c r="EC63" s="94"/>
      <c r="ED63" s="87"/>
      <c r="EE63" s="83"/>
      <c r="EF63" s="83"/>
      <c r="EG63" s="82"/>
      <c r="EH63" s="82"/>
      <c r="EI63" s="74" t="str">
        <f t="shared" si="105"/>
        <v xml:space="preserve"> </v>
      </c>
      <c r="EJ63" s="92"/>
      <c r="EK63" s="92"/>
      <c r="EL63" s="92"/>
      <c r="EM63" s="92"/>
      <c r="EN63" s="89"/>
      <c r="EO63" s="67"/>
      <c r="EP63" s="67"/>
      <c r="EQ63" s="78"/>
      <c r="ER63" s="78"/>
      <c r="ES63" s="74" t="str">
        <f t="shared" si="106"/>
        <v xml:space="preserve"> </v>
      </c>
      <c r="ET63" s="94"/>
      <c r="EU63" s="94"/>
      <c r="EV63" s="94">
        <v>0</v>
      </c>
      <c r="EW63" s="76">
        <v>0</v>
      </c>
      <c r="EX63" s="87"/>
      <c r="EY63" s="83"/>
      <c r="EZ63" s="83"/>
      <c r="FA63" s="82"/>
      <c r="FB63" s="82"/>
      <c r="FC63" s="74" t="str">
        <f t="shared" si="115"/>
        <v xml:space="preserve"> </v>
      </c>
      <c r="FD63" s="92"/>
      <c r="FE63" s="92"/>
      <c r="FF63" s="92"/>
      <c r="FG63" s="92"/>
      <c r="FH63" s="76">
        <f t="shared" si="116"/>
        <v>0</v>
      </c>
      <c r="FI63" s="89"/>
      <c r="FJ63" s="67"/>
      <c r="FK63" s="67"/>
      <c r="FL63" s="78"/>
      <c r="FM63" s="78"/>
      <c r="FN63" s="74" t="str">
        <f t="shared" si="117"/>
        <v xml:space="preserve"> </v>
      </c>
      <c r="FO63" s="94"/>
      <c r="FP63" s="94"/>
      <c r="FQ63" s="94"/>
      <c r="FR63" s="94"/>
      <c r="FS63" s="76">
        <f t="shared" si="118"/>
        <v>0</v>
      </c>
      <c r="FT63" s="87"/>
      <c r="FU63" s="83"/>
      <c r="FV63" s="83"/>
      <c r="FW63" s="82"/>
      <c r="FX63" s="82"/>
      <c r="FY63" s="74" t="str">
        <f t="shared" si="119"/>
        <v xml:space="preserve"> </v>
      </c>
      <c r="FZ63" s="92"/>
      <c r="GA63" s="92"/>
      <c r="GB63" s="92"/>
      <c r="GC63" s="92"/>
      <c r="GD63" s="76">
        <f t="shared" si="120"/>
        <v>0</v>
      </c>
      <c r="GE63" s="62"/>
      <c r="GF63" s="96" t="s">
        <v>221</v>
      </c>
      <c r="GG63" s="96" t="s">
        <v>221</v>
      </c>
      <c r="GH63" s="63"/>
      <c r="GI63" s="63"/>
      <c r="GJ63" s="63"/>
      <c r="GK63" s="97">
        <f t="shared" si="84"/>
        <v>0</v>
      </c>
      <c r="GL63" s="98"/>
      <c r="GM63" s="98"/>
      <c r="GN63" s="97">
        <f t="shared" si="121"/>
        <v>0</v>
      </c>
      <c r="GO63" s="97" t="str">
        <f t="shared" si="122"/>
        <v xml:space="preserve"> </v>
      </c>
      <c r="GP63" s="62"/>
      <c r="GQ63" s="63"/>
      <c r="GR63" s="63"/>
      <c r="GS63" s="63"/>
      <c r="GT63" s="63"/>
      <c r="GU63" s="63"/>
      <c r="GV63" s="63"/>
      <c r="GW63" s="63"/>
      <c r="GX63" s="63"/>
      <c r="GY63" s="65" t="str">
        <f t="shared" si="138"/>
        <v/>
      </c>
      <c r="GZ63" s="65" t="str">
        <f t="shared" si="139"/>
        <v/>
      </c>
      <c r="HA63" s="63"/>
      <c r="HB63" s="63"/>
      <c r="HC63" s="63"/>
      <c r="HD63" s="63"/>
      <c r="HE63" s="63"/>
      <c r="HF63" s="63"/>
      <c r="HG63" s="63"/>
      <c r="HH63" s="63"/>
      <c r="HI63" s="63"/>
      <c r="HJ63" s="63"/>
      <c r="HK63" s="63"/>
      <c r="HL63" s="65" t="str">
        <f t="shared" si="140"/>
        <v/>
      </c>
      <c r="HM63" s="65" t="str">
        <f t="shared" si="124"/>
        <v/>
      </c>
      <c r="HN63" s="65" t="str">
        <f t="shared" si="141"/>
        <v/>
      </c>
      <c r="HO63" s="65" t="str">
        <f t="shared" si="142"/>
        <v/>
      </c>
      <c r="HP63" s="99" t="str">
        <f t="shared" si="130"/>
        <v/>
      </c>
      <c r="HQ63" s="99" t="str">
        <f t="shared" si="143"/>
        <v/>
      </c>
      <c r="HR63" s="63"/>
      <c r="HS63" s="63"/>
      <c r="HT63" s="63"/>
      <c r="HU63" s="63"/>
      <c r="HV63" s="63"/>
      <c r="HW63" s="63"/>
      <c r="HX63" s="63"/>
      <c r="HY63" s="63"/>
      <c r="HZ63" s="63"/>
      <c r="IA63" s="63"/>
      <c r="IB63" s="63"/>
      <c r="IC63" s="63"/>
      <c r="ID63" s="63"/>
      <c r="IE63" s="100"/>
      <c r="IF63" s="100"/>
      <c r="IG63" s="100"/>
      <c r="IH63" s="100"/>
      <c r="II63" s="100"/>
      <c r="IJ63" s="100"/>
      <c r="IK63" s="100"/>
      <c r="IL63" s="63"/>
      <c r="IM63" s="62"/>
      <c r="IN63" s="101"/>
      <c r="IO63" s="101"/>
      <c r="IP63" s="63"/>
      <c r="IQ63" s="63"/>
      <c r="IR63" s="63"/>
      <c r="IS63" s="63"/>
      <c r="IT63" s="63"/>
      <c r="IU63" s="63"/>
      <c r="IV63" s="63"/>
      <c r="IW63" s="63"/>
      <c r="IX63" s="63"/>
      <c r="IY63" s="63"/>
      <c r="IZ63" s="63"/>
      <c r="JA63" s="65">
        <f t="shared" si="107"/>
        <v>0</v>
      </c>
      <c r="JB63" s="63"/>
      <c r="JC63" s="101"/>
      <c r="JD63" s="101"/>
      <c r="JE63" s="63"/>
      <c r="JF63" s="63"/>
      <c r="JG63" s="63"/>
      <c r="JH63" s="63"/>
      <c r="JI63" s="63"/>
      <c r="JJ63" s="63"/>
      <c r="JK63" s="63"/>
      <c r="JL63" s="63"/>
      <c r="JM63" s="63"/>
      <c r="JN63" s="63"/>
      <c r="JO63" s="63"/>
      <c r="JP63" s="65">
        <f t="shared" si="133"/>
        <v>0</v>
      </c>
      <c r="JQ63" s="63"/>
      <c r="LM63" s="205"/>
      <c r="LN63" s="102">
        <f>IFERROR(ROWS($IL$8:IL63)," ")</f>
        <v>56</v>
      </c>
      <c r="LO63" s="103" t="str">
        <f>IFERROR(IF([1]Checklist!$C$3='GenInfo (2)'!E63,'GenInfo (2)'!LN63," ")," ")</f>
        <v xml:space="preserve"> </v>
      </c>
      <c r="LP63" s="104" t="str">
        <f>IFERROR(SMALL($LO$8:$LO$94,ROWS($IL$8:IL63))," ")</f>
        <v xml:space="preserve"> </v>
      </c>
      <c r="LQ63" s="102">
        <f>IFERROR(ROWS($IL$8:IL63)," ")</f>
        <v>56</v>
      </c>
      <c r="LR63" s="103" t="str">
        <f>IFERROR(IF([1]Checklist!$C$4='GenInfo (2)'!E63,'GenInfo (2)'!LQ63," ")," ")</f>
        <v xml:space="preserve"> </v>
      </c>
      <c r="LS63" s="104" t="str">
        <f>IFERROR(SMALL($LR$8:$LR$94,ROWS($IL$8:IL63))," ")</f>
        <v xml:space="preserve"> </v>
      </c>
      <c r="LT63" s="102">
        <f>IFERROR(ROWS($IL$8:IL63)," ")</f>
        <v>56</v>
      </c>
      <c r="LU63" s="103" t="str">
        <f>IFERROR(IF([1]Checklist!$C$5='GenInfo (2)'!E63,'GenInfo (2)'!LT63," ")," ")</f>
        <v xml:space="preserve"> </v>
      </c>
      <c r="LV63" s="104" t="str">
        <f>IFERROR(SMALL($LU$8:$LU$94,ROWS($IL$8:IL63))," ")</f>
        <v xml:space="preserve"> </v>
      </c>
      <c r="LW63" s="102">
        <f>IFERROR(ROWS($IL$8:IL63)," ")</f>
        <v>56</v>
      </c>
      <c r="LX63" s="103" t="str">
        <f>IFERROR(IF([1]Checklist!$C$6='GenInfo (2)'!E63,'GenInfo (2)'!LW63," ")," ")</f>
        <v xml:space="preserve"> </v>
      </c>
      <c r="LY63" s="104" t="str">
        <f>IFERROR(SMALL($LX$8:$LX$94,ROWS($IL$8:IL63))," ")</f>
        <v xml:space="preserve"> </v>
      </c>
      <c r="LZ63" s="102">
        <f>IFERROR(ROWS($IL$8:IL63)," ")</f>
        <v>56</v>
      </c>
      <c r="MA63" s="103" t="str">
        <f>IFERROR(IF([1]Checklist!$C$7='GenInfo (2)'!E63,'GenInfo (2)'!LZ63," ")," ")</f>
        <v xml:space="preserve"> </v>
      </c>
      <c r="MB63" s="104" t="str">
        <f>IFERROR(SMALL($MA$8:$MA$94,ROWS($IL$8:IL63))," ")</f>
        <v xml:space="preserve"> </v>
      </c>
      <c r="MC63" s="102">
        <f>IFERROR(ROWS($IL$8:IL63)," ")</f>
        <v>56</v>
      </c>
      <c r="MD63" s="103" t="str">
        <f>IFERROR(IF([1]Checklist!$C$8='GenInfo (2)'!E63,'GenInfo (2)'!MC63," ")," ")</f>
        <v xml:space="preserve"> </v>
      </c>
      <c r="ME63" s="104" t="str">
        <f>IFERROR(SMALL($MD$8:$MD$94,ROWS($IL$8:IL63))," ")</f>
        <v xml:space="preserve"> </v>
      </c>
      <c r="MF63" s="102">
        <f>IFERROR(ROWS($IL$8:IL63)," ")</f>
        <v>56</v>
      </c>
      <c r="MG63" s="103" t="str">
        <f>IFERROR(IF([1]Checklist!$C$9='GenInfo (2)'!E63,'GenInfo (2)'!MF63," ")," ")</f>
        <v xml:space="preserve"> </v>
      </c>
      <c r="MH63" s="104" t="str">
        <f>IFERROR(SMALL($MG$8:$MG$94,ROWS($IL$8:IL63))," ")</f>
        <v xml:space="preserve"> </v>
      </c>
      <c r="MI63" s="102">
        <f>IFERROR(ROWS($IL$8:$IL63)," ")</f>
        <v>56</v>
      </c>
      <c r="MJ63" s="103" t="str">
        <f>IFERROR(IF([1]Checklist!$C$10='GenInfo (2)'!E63,'GenInfo (2)'!MI63," ")," ")</f>
        <v xml:space="preserve"> </v>
      </c>
      <c r="MK63" s="104" t="str">
        <f>IFERROR(SMALL($MJ$8:$MJ$94,ROWS($IL$8:IL63))," ")</f>
        <v xml:space="preserve"> </v>
      </c>
      <c r="ML63" s="102">
        <f>IFERROR(ROWS($IL$8:IL63)," ")</f>
        <v>56</v>
      </c>
      <c r="MM63" s="103" t="str">
        <f>IFERROR(IF([1]Checklist!$C$11='GenInfo (2)'!E63,'GenInfo (2)'!ML63," ")," ")</f>
        <v xml:space="preserve"> </v>
      </c>
      <c r="MN63" s="104" t="str">
        <f>IFERROR(SMALL($MM$8:$MM$94,ROWS($IL$8:IL63))," ")</f>
        <v xml:space="preserve"> </v>
      </c>
      <c r="MO63" s="102">
        <f>IFERROR(ROWS($IL$8:IL63)," ")</f>
        <v>56</v>
      </c>
      <c r="MP63" s="103" t="str">
        <f>IFERROR(IF([1]Checklist!$C$12='GenInfo (2)'!E63,'GenInfo (2)'!MO63," ")," ")</f>
        <v xml:space="preserve"> </v>
      </c>
      <c r="MQ63" s="104" t="str">
        <f>IFERROR(SMALL($MP$8:$MP$94,ROWS($IL$8:IL63))," ")</f>
        <v xml:space="preserve"> </v>
      </c>
      <c r="MR63" s="102">
        <f>IFERROR(ROWS($IL$8:IL63)," ")</f>
        <v>56</v>
      </c>
      <c r="MS63" s="103" t="str">
        <f>IFERROR(IF([1]Checklist!$C$13='GenInfo (2)'!E63,'GenInfo (2)'!MR63," ")," ")</f>
        <v xml:space="preserve"> </v>
      </c>
      <c r="MT63" s="104" t="str">
        <f>IFERROR(SMALL($MS$8:$MS$94,ROWS($IL$8:IL63))," ")</f>
        <v xml:space="preserve"> </v>
      </c>
      <c r="MU63" s="102">
        <f>IFERROR(ROWS($IL$8:IL63)," ")</f>
        <v>56</v>
      </c>
      <c r="MV63" s="103" t="str">
        <f>IFERROR(IF([1]Checklist!$C$14='GenInfo (2)'!E63,'GenInfo (2)'!MU63," ")," ")</f>
        <v xml:space="preserve"> </v>
      </c>
      <c r="MW63" s="104" t="str">
        <f>IFERROR(SMALL($MV$8:$MV$94,ROWS($IL$8:IL63))," ")</f>
        <v xml:space="preserve"> </v>
      </c>
      <c r="MX63" s="102">
        <f>IFERROR(ROWS($IL$8:IL63)," ")</f>
        <v>56</v>
      </c>
      <c r="MY63" s="103" t="str">
        <f>IFERROR(IF([1]Checklist!$C$15='GenInfo (2)'!E63,'GenInfo (2)'!MX63," ")," ")</f>
        <v xml:space="preserve"> </v>
      </c>
      <c r="MZ63" s="104" t="str">
        <f>IFERROR(SMALL($MY$8:$MY$94,ROWS($IL$8:IL63))," ")</f>
        <v xml:space="preserve"> </v>
      </c>
      <c r="NA63" s="102">
        <f>IFERROR(ROWS($IL$8:IL63)," ")</f>
        <v>56</v>
      </c>
      <c r="NB63" s="103" t="str">
        <f>IFERROR(IF([1]Checklist!$C$16='GenInfo (2)'!E63,'GenInfo (2)'!NA63," ")," ")</f>
        <v xml:space="preserve"> </v>
      </c>
      <c r="NC63" s="104" t="str">
        <f>IFERROR(SMALL($NB$8:$NB$94,ROWS($IL$8:IL63))," ")</f>
        <v xml:space="preserve"> </v>
      </c>
      <c r="ND63" s="102">
        <f>IFERROR(ROWS($IL$8:IL63)," ")</f>
        <v>56</v>
      </c>
      <c r="NE63" s="103" t="str">
        <f>IFERROR(IF([1]Checklist!$C$17='GenInfo (2)'!E63,'GenInfo (2)'!ND63," ")," ")</f>
        <v xml:space="preserve"> </v>
      </c>
      <c r="NF63" s="104" t="str">
        <f>IFERROR(SMALL($NE$8:$NE$94,ROWS($IL$8:IL63))," ")</f>
        <v xml:space="preserve"> </v>
      </c>
    </row>
    <row r="64" spans="1:370" ht="14.25" x14ac:dyDescent="0.45">
      <c r="E64" s="64"/>
      <c r="F64" s="63"/>
      <c r="G64" s="64"/>
      <c r="H64" s="63"/>
      <c r="I64" s="63"/>
      <c r="J64" s="63"/>
      <c r="K64" s="62"/>
      <c r="L64" s="67"/>
      <c r="M64" s="67"/>
      <c r="N64" s="67"/>
      <c r="O64" s="68"/>
      <c r="P64" s="67"/>
      <c r="Q64" s="67"/>
      <c r="R64" s="63"/>
      <c r="S64" s="67"/>
      <c r="T64" s="63"/>
      <c r="U64" s="62"/>
      <c r="V64" s="63"/>
      <c r="W64" s="63"/>
      <c r="X64" s="69"/>
      <c r="Y64" s="63"/>
      <c r="Z64" s="69"/>
      <c r="AA64" s="62"/>
      <c r="AB64" s="63"/>
      <c r="AC64" s="63"/>
      <c r="AD64" s="63"/>
      <c r="AE64" s="63"/>
      <c r="AF64" s="63"/>
      <c r="AG64" s="63"/>
      <c r="AH64" s="63"/>
      <c r="AI64" s="63"/>
      <c r="AJ64" s="63"/>
      <c r="AK64" s="62"/>
      <c r="AL64" s="71">
        <f t="shared" si="95"/>
        <v>0</v>
      </c>
      <c r="AM64" s="71">
        <f t="shared" ca="1" si="137"/>
        <v>122</v>
      </c>
      <c r="AN64" s="63"/>
      <c r="AO64" s="72" t="str">
        <f t="shared" ca="1" si="97"/>
        <v/>
      </c>
      <c r="AP64" s="63"/>
      <c r="AQ64" s="73"/>
      <c r="AR64" s="70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2"/>
      <c r="BE64" s="71">
        <f t="shared" si="135"/>
        <v>0</v>
      </c>
      <c r="BF64" s="71">
        <f t="shared" si="135"/>
        <v>0</v>
      </c>
      <c r="BG64" s="71">
        <f t="shared" si="99"/>
        <v>0</v>
      </c>
      <c r="BH64" s="74" t="str">
        <f t="shared" si="100"/>
        <v xml:space="preserve"> </v>
      </c>
      <c r="BI64" s="75" t="str">
        <f t="shared" si="101"/>
        <v xml:space="preserve"> </v>
      </c>
      <c r="BJ64" s="71">
        <f t="shared" si="102"/>
        <v>0</v>
      </c>
      <c r="BK64" s="75" t="str">
        <f t="shared" si="103"/>
        <v xml:space="preserve"> </v>
      </c>
      <c r="BL64" s="76">
        <f t="shared" si="136"/>
        <v>0</v>
      </c>
      <c r="BM64" s="77">
        <f t="shared" si="136"/>
        <v>0</v>
      </c>
      <c r="BN64" s="78"/>
      <c r="BO64" s="67"/>
      <c r="BP64" s="67"/>
      <c r="BQ64" s="63"/>
      <c r="BR64" s="63"/>
      <c r="BS64" s="74" t="str">
        <f t="shared" si="108"/>
        <v xml:space="preserve"> </v>
      </c>
      <c r="BT64" s="79" t="s">
        <v>221</v>
      </c>
      <c r="BU64" s="79" t="s">
        <v>221</v>
      </c>
      <c r="BV64" s="80">
        <v>0</v>
      </c>
      <c r="BW64" s="81">
        <v>0</v>
      </c>
      <c r="BX64" s="82"/>
      <c r="BY64" s="83"/>
      <c r="BZ64" s="83"/>
      <c r="CA64" s="84"/>
      <c r="CB64" s="84"/>
      <c r="CC64" s="74" t="str">
        <f t="shared" si="109"/>
        <v xml:space="preserve"> </v>
      </c>
      <c r="CD64" s="79" t="s">
        <v>221</v>
      </c>
      <c r="CE64" s="81">
        <v>0</v>
      </c>
      <c r="CF64" s="85"/>
      <c r="CG64" s="85"/>
      <c r="CH64" s="85"/>
      <c r="CI64" s="78"/>
      <c r="CJ64" s="78"/>
      <c r="CK64" s="74" t="str">
        <f t="shared" si="110"/>
        <v xml:space="preserve"> </v>
      </c>
      <c r="CL64" s="79" t="s">
        <v>221</v>
      </c>
      <c r="CM64" s="79" t="s">
        <v>221</v>
      </c>
      <c r="CN64" s="86" t="s">
        <v>221</v>
      </c>
      <c r="CO64" s="81">
        <v>0</v>
      </c>
      <c r="CP64" s="87"/>
      <c r="CQ64" s="83"/>
      <c r="CR64" s="83"/>
      <c r="CS64" s="82"/>
      <c r="CT64" s="82"/>
      <c r="CU64" s="74" t="str">
        <f t="shared" si="111"/>
        <v xml:space="preserve"> </v>
      </c>
      <c r="CV64" s="79" t="s">
        <v>221</v>
      </c>
      <c r="CW64" s="79" t="s">
        <v>221</v>
      </c>
      <c r="CX64" s="88" t="s">
        <v>221</v>
      </c>
      <c r="CY64" s="81">
        <v>0</v>
      </c>
      <c r="CZ64" s="89"/>
      <c r="DA64" s="67"/>
      <c r="DB64" s="67"/>
      <c r="DC64" s="78"/>
      <c r="DD64" s="78"/>
      <c r="DE64" s="74" t="str">
        <f t="shared" si="112"/>
        <v xml:space="preserve"> </v>
      </c>
      <c r="DF64" s="79" t="s">
        <v>221</v>
      </c>
      <c r="DG64" s="79" t="s">
        <v>221</v>
      </c>
      <c r="DH64" s="79" t="s">
        <v>221</v>
      </c>
      <c r="DI64" s="81">
        <v>0</v>
      </c>
      <c r="DJ64" s="87"/>
      <c r="DK64" s="83"/>
      <c r="DL64" s="83"/>
      <c r="DM64" s="82"/>
      <c r="DN64" s="82"/>
      <c r="DO64" s="74" t="str">
        <f t="shared" si="113"/>
        <v xml:space="preserve"> </v>
      </c>
      <c r="DP64" s="79" t="s">
        <v>221</v>
      </c>
      <c r="DQ64" s="79" t="s">
        <v>221</v>
      </c>
      <c r="DR64" s="79" t="s">
        <v>221</v>
      </c>
      <c r="DS64" s="81">
        <v>0</v>
      </c>
      <c r="DT64" s="89"/>
      <c r="DU64" s="67"/>
      <c r="DV64" s="67"/>
      <c r="DW64" s="78"/>
      <c r="DX64" s="78"/>
      <c r="DY64" s="74" t="str">
        <f t="shared" si="114"/>
        <v xml:space="preserve"> </v>
      </c>
      <c r="DZ64" s="94"/>
      <c r="EA64" s="94"/>
      <c r="EB64" s="94"/>
      <c r="EC64" s="94"/>
      <c r="ED64" s="87"/>
      <c r="EE64" s="83"/>
      <c r="EF64" s="83"/>
      <c r="EG64" s="82"/>
      <c r="EH64" s="82"/>
      <c r="EI64" s="74" t="str">
        <f t="shared" si="105"/>
        <v xml:space="preserve"> </v>
      </c>
      <c r="EJ64" s="92"/>
      <c r="EK64" s="92"/>
      <c r="EL64" s="92"/>
      <c r="EM64" s="92"/>
      <c r="EN64" s="89"/>
      <c r="EO64" s="67"/>
      <c r="EP64" s="67"/>
      <c r="EQ64" s="78"/>
      <c r="ER64" s="78"/>
      <c r="ES64" s="74" t="str">
        <f t="shared" si="106"/>
        <v xml:space="preserve"> </v>
      </c>
      <c r="ET64" s="94"/>
      <c r="EU64" s="94"/>
      <c r="EV64" s="94">
        <v>0</v>
      </c>
      <c r="EW64" s="76">
        <v>0</v>
      </c>
      <c r="EX64" s="87"/>
      <c r="EY64" s="83"/>
      <c r="EZ64" s="83"/>
      <c r="FA64" s="82"/>
      <c r="FB64" s="82"/>
      <c r="FC64" s="74" t="str">
        <f t="shared" si="115"/>
        <v xml:space="preserve"> </v>
      </c>
      <c r="FD64" s="92"/>
      <c r="FE64" s="92"/>
      <c r="FF64" s="92"/>
      <c r="FG64" s="92"/>
      <c r="FH64" s="76">
        <f t="shared" si="116"/>
        <v>0</v>
      </c>
      <c r="FI64" s="89"/>
      <c r="FJ64" s="67"/>
      <c r="FK64" s="67"/>
      <c r="FL64" s="78"/>
      <c r="FM64" s="78"/>
      <c r="FN64" s="74" t="str">
        <f t="shared" si="117"/>
        <v xml:space="preserve"> </v>
      </c>
      <c r="FO64" s="94"/>
      <c r="FP64" s="94"/>
      <c r="FQ64" s="94"/>
      <c r="FR64" s="94"/>
      <c r="FS64" s="76">
        <f t="shared" si="118"/>
        <v>0</v>
      </c>
      <c r="FT64" s="87"/>
      <c r="FU64" s="83"/>
      <c r="FV64" s="83"/>
      <c r="FW64" s="82"/>
      <c r="FX64" s="82"/>
      <c r="FY64" s="74" t="str">
        <f t="shared" si="119"/>
        <v xml:space="preserve"> </v>
      </c>
      <c r="FZ64" s="92"/>
      <c r="GA64" s="92"/>
      <c r="GB64" s="92"/>
      <c r="GC64" s="92"/>
      <c r="GD64" s="76">
        <f t="shared" si="120"/>
        <v>0</v>
      </c>
      <c r="GE64" s="62"/>
      <c r="GF64" s="96" t="s">
        <v>221</v>
      </c>
      <c r="GG64" s="96" t="s">
        <v>221</v>
      </c>
      <c r="GH64" s="63"/>
      <c r="GI64" s="63"/>
      <c r="GJ64" s="63"/>
      <c r="GK64" s="97">
        <f t="shared" si="84"/>
        <v>0</v>
      </c>
      <c r="GL64" s="98"/>
      <c r="GM64" s="98"/>
      <c r="GN64" s="97">
        <f t="shared" si="121"/>
        <v>0</v>
      </c>
      <c r="GO64" s="97" t="str">
        <f t="shared" si="122"/>
        <v xml:space="preserve"> </v>
      </c>
      <c r="GP64" s="62"/>
      <c r="GQ64" s="63"/>
      <c r="GR64" s="63"/>
      <c r="GS64" s="63"/>
      <c r="GT64" s="63"/>
      <c r="GU64" s="63"/>
      <c r="GV64" s="63"/>
      <c r="GW64" s="63"/>
      <c r="GX64" s="63"/>
      <c r="GY64" s="65" t="str">
        <f t="shared" si="138"/>
        <v/>
      </c>
      <c r="GZ64" s="65" t="str">
        <f t="shared" si="139"/>
        <v/>
      </c>
      <c r="HA64" s="63"/>
      <c r="HB64" s="63"/>
      <c r="HC64" s="63"/>
      <c r="HD64" s="63"/>
      <c r="HE64" s="63"/>
      <c r="HF64" s="63"/>
      <c r="HG64" s="63"/>
      <c r="HH64" s="63"/>
      <c r="HI64" s="63"/>
      <c r="HJ64" s="63"/>
      <c r="HK64" s="63"/>
      <c r="HL64" s="65" t="str">
        <f t="shared" si="140"/>
        <v/>
      </c>
      <c r="HM64" s="65" t="str">
        <f t="shared" si="124"/>
        <v/>
      </c>
      <c r="HN64" s="65" t="str">
        <f t="shared" si="141"/>
        <v/>
      </c>
      <c r="HO64" s="65" t="str">
        <f t="shared" si="142"/>
        <v/>
      </c>
      <c r="HP64" s="99" t="str">
        <f t="shared" si="130"/>
        <v/>
      </c>
      <c r="HQ64" s="99" t="str">
        <f t="shared" si="143"/>
        <v/>
      </c>
      <c r="HR64" s="63"/>
      <c r="HS64" s="63"/>
      <c r="HT64" s="63"/>
      <c r="HU64" s="63"/>
      <c r="HV64" s="63"/>
      <c r="HW64" s="63"/>
      <c r="HX64" s="63"/>
      <c r="HY64" s="63"/>
      <c r="HZ64" s="63"/>
      <c r="IA64" s="63"/>
      <c r="IB64" s="63"/>
      <c r="IC64" s="63"/>
      <c r="ID64" s="63"/>
      <c r="IE64" s="100"/>
      <c r="IF64" s="100"/>
      <c r="IG64" s="100"/>
      <c r="IH64" s="100"/>
      <c r="II64" s="100"/>
      <c r="IJ64" s="100"/>
      <c r="IK64" s="100"/>
      <c r="IL64" s="63"/>
      <c r="IM64" s="62"/>
      <c r="IN64" s="101"/>
      <c r="IO64" s="101"/>
      <c r="IP64" s="63"/>
      <c r="IQ64" s="63"/>
      <c r="IR64" s="63"/>
      <c r="IS64" s="63"/>
      <c r="IT64" s="63"/>
      <c r="IU64" s="63"/>
      <c r="IV64" s="63"/>
      <c r="IW64" s="63"/>
      <c r="IX64" s="63"/>
      <c r="IY64" s="63"/>
      <c r="IZ64" s="63"/>
      <c r="JA64" s="65">
        <f t="shared" si="107"/>
        <v>0</v>
      </c>
      <c r="JB64" s="63"/>
      <c r="JC64" s="101"/>
      <c r="JD64" s="101"/>
      <c r="JE64" s="63"/>
      <c r="JF64" s="63"/>
      <c r="JG64" s="63"/>
      <c r="JH64" s="63"/>
      <c r="JI64" s="63"/>
      <c r="JJ64" s="63"/>
      <c r="JK64" s="63"/>
      <c r="JL64" s="63"/>
      <c r="JM64" s="63"/>
      <c r="JN64" s="63"/>
      <c r="JO64" s="63"/>
      <c r="JP64" s="65">
        <f t="shared" si="133"/>
        <v>0</v>
      </c>
      <c r="JQ64" s="63"/>
      <c r="LM64" s="205"/>
      <c r="LN64" s="102">
        <f>IFERROR(ROWS($IL$8:IL64)," ")</f>
        <v>57</v>
      </c>
      <c r="LO64" s="103" t="str">
        <f>IFERROR(IF([1]Checklist!$C$3='GenInfo (2)'!E64,'GenInfo (2)'!LN64," ")," ")</f>
        <v xml:space="preserve"> </v>
      </c>
      <c r="LP64" s="104" t="str">
        <f>IFERROR(SMALL($LO$8:$LO$94,ROWS($IL$8:IL64))," ")</f>
        <v xml:space="preserve"> </v>
      </c>
      <c r="LQ64" s="102">
        <f>IFERROR(ROWS($IL$8:IL64)," ")</f>
        <v>57</v>
      </c>
      <c r="LR64" s="103" t="str">
        <f>IFERROR(IF([1]Checklist!$C$4='GenInfo (2)'!E64,'GenInfo (2)'!LQ64," ")," ")</f>
        <v xml:space="preserve"> </v>
      </c>
      <c r="LS64" s="104" t="str">
        <f>IFERROR(SMALL($LR$8:$LR$94,ROWS($IL$8:IL64))," ")</f>
        <v xml:space="preserve"> </v>
      </c>
      <c r="LT64" s="102">
        <f>IFERROR(ROWS($IL$8:IL64)," ")</f>
        <v>57</v>
      </c>
      <c r="LU64" s="103" t="str">
        <f>IFERROR(IF([1]Checklist!$C$5='GenInfo (2)'!E64,'GenInfo (2)'!LT64," ")," ")</f>
        <v xml:space="preserve"> </v>
      </c>
      <c r="LV64" s="104" t="str">
        <f>IFERROR(SMALL($LU$8:$LU$94,ROWS($IL$8:IL64))," ")</f>
        <v xml:space="preserve"> </v>
      </c>
      <c r="LW64" s="102">
        <f>IFERROR(ROWS($IL$8:IL64)," ")</f>
        <v>57</v>
      </c>
      <c r="LX64" s="103" t="str">
        <f>IFERROR(IF([1]Checklist!$C$6='GenInfo (2)'!E64,'GenInfo (2)'!LW64," ")," ")</f>
        <v xml:space="preserve"> </v>
      </c>
      <c r="LY64" s="104" t="str">
        <f>IFERROR(SMALL($LX$8:$LX$94,ROWS($IL$8:IL64))," ")</f>
        <v xml:space="preserve"> </v>
      </c>
      <c r="LZ64" s="102">
        <f>IFERROR(ROWS($IL$8:IL64)," ")</f>
        <v>57</v>
      </c>
      <c r="MA64" s="103" t="str">
        <f>IFERROR(IF([1]Checklist!$C$7='GenInfo (2)'!E64,'GenInfo (2)'!LZ64," ")," ")</f>
        <v xml:space="preserve"> </v>
      </c>
      <c r="MB64" s="104" t="str">
        <f>IFERROR(SMALL($MA$8:$MA$94,ROWS($IL$8:IL64))," ")</f>
        <v xml:space="preserve"> </v>
      </c>
      <c r="MC64" s="102">
        <f>IFERROR(ROWS($IL$8:IL64)," ")</f>
        <v>57</v>
      </c>
      <c r="MD64" s="103" t="str">
        <f>IFERROR(IF([1]Checklist!$C$8='GenInfo (2)'!E64,'GenInfo (2)'!MC64," ")," ")</f>
        <v xml:space="preserve"> </v>
      </c>
      <c r="ME64" s="104" t="str">
        <f>IFERROR(SMALL($MD$8:$MD$94,ROWS($IL$8:IL64))," ")</f>
        <v xml:space="preserve"> </v>
      </c>
      <c r="MF64" s="102">
        <f>IFERROR(ROWS($IL$8:IL64)," ")</f>
        <v>57</v>
      </c>
      <c r="MG64" s="103" t="str">
        <f>IFERROR(IF([1]Checklist!$C$9='GenInfo (2)'!E64,'GenInfo (2)'!MF64," ")," ")</f>
        <v xml:space="preserve"> </v>
      </c>
      <c r="MH64" s="104" t="str">
        <f>IFERROR(SMALL($MG$8:$MG$94,ROWS($IL$8:IL64))," ")</f>
        <v xml:space="preserve"> </v>
      </c>
      <c r="MI64" s="102">
        <f>IFERROR(ROWS($IL$8:$IL64)," ")</f>
        <v>57</v>
      </c>
      <c r="MJ64" s="103" t="str">
        <f>IFERROR(IF([1]Checklist!$C$10='GenInfo (2)'!E64,'GenInfo (2)'!MI64," ")," ")</f>
        <v xml:space="preserve"> </v>
      </c>
      <c r="MK64" s="104" t="str">
        <f>IFERROR(SMALL($MJ$8:$MJ$94,ROWS($IL$8:IL64))," ")</f>
        <v xml:space="preserve"> </v>
      </c>
      <c r="ML64" s="102">
        <f>IFERROR(ROWS($IL$8:IL64)," ")</f>
        <v>57</v>
      </c>
      <c r="MM64" s="103" t="str">
        <f>IFERROR(IF([1]Checklist!$C$11='GenInfo (2)'!E64,'GenInfo (2)'!ML64," ")," ")</f>
        <v xml:space="preserve"> </v>
      </c>
      <c r="MN64" s="104" t="str">
        <f>IFERROR(SMALL($MM$8:$MM$94,ROWS($IL$8:IL64))," ")</f>
        <v xml:space="preserve"> </v>
      </c>
      <c r="MO64" s="102">
        <f>IFERROR(ROWS($IL$8:IL64)," ")</f>
        <v>57</v>
      </c>
      <c r="MP64" s="103" t="str">
        <f>IFERROR(IF([1]Checklist!$C$12='GenInfo (2)'!E64,'GenInfo (2)'!MO64," ")," ")</f>
        <v xml:space="preserve"> </v>
      </c>
      <c r="MQ64" s="104" t="str">
        <f>IFERROR(SMALL($MP$8:$MP$94,ROWS($IL$8:IL64))," ")</f>
        <v xml:space="preserve"> </v>
      </c>
      <c r="MR64" s="102">
        <f>IFERROR(ROWS($IL$8:IL64)," ")</f>
        <v>57</v>
      </c>
      <c r="MS64" s="103" t="str">
        <f>IFERROR(IF([1]Checklist!$C$13='GenInfo (2)'!E64,'GenInfo (2)'!MR64," ")," ")</f>
        <v xml:space="preserve"> </v>
      </c>
      <c r="MT64" s="104" t="str">
        <f>IFERROR(SMALL($MS$8:$MS$94,ROWS($IL$8:IL64))," ")</f>
        <v xml:space="preserve"> </v>
      </c>
      <c r="MU64" s="102">
        <f>IFERROR(ROWS($IL$8:IL64)," ")</f>
        <v>57</v>
      </c>
      <c r="MV64" s="103" t="str">
        <f>IFERROR(IF([1]Checklist!$C$14='GenInfo (2)'!E64,'GenInfo (2)'!MU64," ")," ")</f>
        <v xml:space="preserve"> </v>
      </c>
      <c r="MW64" s="104" t="str">
        <f>IFERROR(SMALL($MV$8:$MV$94,ROWS($IL$8:IL64))," ")</f>
        <v xml:space="preserve"> </v>
      </c>
      <c r="MX64" s="102">
        <f>IFERROR(ROWS($IL$8:IL64)," ")</f>
        <v>57</v>
      </c>
      <c r="MY64" s="103" t="str">
        <f>IFERROR(IF([1]Checklist!$C$15='GenInfo (2)'!E64,'GenInfo (2)'!MX64," ")," ")</f>
        <v xml:space="preserve"> </v>
      </c>
      <c r="MZ64" s="104" t="str">
        <f>IFERROR(SMALL($MY$8:$MY$94,ROWS($IL$8:IL64))," ")</f>
        <v xml:space="preserve"> </v>
      </c>
      <c r="NA64" s="102">
        <f>IFERROR(ROWS($IL$8:IL64)," ")</f>
        <v>57</v>
      </c>
      <c r="NB64" s="103" t="str">
        <f>IFERROR(IF([1]Checklist!$C$16='GenInfo (2)'!E64,'GenInfo (2)'!NA64," ")," ")</f>
        <v xml:space="preserve"> </v>
      </c>
      <c r="NC64" s="104" t="str">
        <f>IFERROR(SMALL($NB$8:$NB$94,ROWS($IL$8:IL64))," ")</f>
        <v xml:space="preserve"> </v>
      </c>
      <c r="ND64" s="102">
        <f>IFERROR(ROWS($IL$8:IL64)," ")</f>
        <v>57</v>
      </c>
      <c r="NE64" s="103" t="str">
        <f>IFERROR(IF([1]Checklist!$C$17='GenInfo (2)'!E64,'GenInfo (2)'!ND64," ")," ")</f>
        <v xml:space="preserve"> </v>
      </c>
      <c r="NF64" s="104" t="str">
        <f>IFERROR(SMALL($NE$8:$NE$94,ROWS($IL$8:IL64))," ")</f>
        <v xml:space="preserve"> </v>
      </c>
    </row>
    <row r="65" spans="5:370" ht="14.25" x14ac:dyDescent="0.45">
      <c r="E65" s="64"/>
      <c r="F65" s="63"/>
      <c r="G65" s="64"/>
      <c r="H65" s="63"/>
      <c r="I65" s="63"/>
      <c r="J65" s="63"/>
      <c r="K65" s="62"/>
      <c r="L65" s="67"/>
      <c r="M65" s="67"/>
      <c r="N65" s="67"/>
      <c r="O65" s="68"/>
      <c r="P65" s="67"/>
      <c r="Q65" s="67"/>
      <c r="R65" s="63"/>
      <c r="S65" s="67"/>
      <c r="T65" s="63"/>
      <c r="U65" s="62"/>
      <c r="V65" s="63"/>
      <c r="W65" s="63"/>
      <c r="X65" s="69"/>
      <c r="Y65" s="63"/>
      <c r="Z65" s="69"/>
      <c r="AA65" s="62"/>
      <c r="AB65" s="63"/>
      <c r="AC65" s="63"/>
      <c r="AD65" s="63"/>
      <c r="AE65" s="63"/>
      <c r="AF65" s="63"/>
      <c r="AG65" s="63"/>
      <c r="AH65" s="63"/>
      <c r="AI65" s="63"/>
      <c r="AJ65" s="63"/>
      <c r="AK65" s="62"/>
      <c r="AL65" s="71">
        <f t="shared" si="95"/>
        <v>0</v>
      </c>
      <c r="AM65" s="71">
        <f t="shared" ca="1" si="137"/>
        <v>122</v>
      </c>
      <c r="AN65" s="63"/>
      <c r="AO65" s="72" t="str">
        <f t="shared" ca="1" si="97"/>
        <v/>
      </c>
      <c r="AP65" s="63"/>
      <c r="AQ65" s="73"/>
      <c r="AR65" s="70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2"/>
      <c r="BE65" s="71">
        <f t="shared" si="135"/>
        <v>0</v>
      </c>
      <c r="BF65" s="71">
        <f t="shared" si="135"/>
        <v>0</v>
      </c>
      <c r="BG65" s="71">
        <f t="shared" si="99"/>
        <v>0</v>
      </c>
      <c r="BH65" s="74" t="str">
        <f t="shared" si="100"/>
        <v xml:space="preserve"> </v>
      </c>
      <c r="BI65" s="75" t="str">
        <f t="shared" si="101"/>
        <v xml:space="preserve"> </v>
      </c>
      <c r="BJ65" s="71">
        <f t="shared" si="102"/>
        <v>0</v>
      </c>
      <c r="BK65" s="75" t="str">
        <f t="shared" si="103"/>
        <v xml:space="preserve"> </v>
      </c>
      <c r="BL65" s="76">
        <f t="shared" si="136"/>
        <v>0</v>
      </c>
      <c r="BM65" s="77">
        <f t="shared" si="136"/>
        <v>0</v>
      </c>
      <c r="BN65" s="78"/>
      <c r="BO65" s="67"/>
      <c r="BP65" s="67"/>
      <c r="BQ65" s="63"/>
      <c r="BR65" s="63"/>
      <c r="BS65" s="74" t="str">
        <f t="shared" si="108"/>
        <v xml:space="preserve"> </v>
      </c>
      <c r="BT65" s="79" t="s">
        <v>221</v>
      </c>
      <c r="BU65" s="79" t="s">
        <v>221</v>
      </c>
      <c r="BV65" s="80">
        <v>0</v>
      </c>
      <c r="BW65" s="81">
        <v>0</v>
      </c>
      <c r="BX65" s="82"/>
      <c r="BY65" s="83"/>
      <c r="BZ65" s="83"/>
      <c r="CA65" s="84"/>
      <c r="CB65" s="84"/>
      <c r="CC65" s="74" t="str">
        <f t="shared" si="109"/>
        <v xml:space="preserve"> </v>
      </c>
      <c r="CD65" s="79" t="s">
        <v>221</v>
      </c>
      <c r="CE65" s="81">
        <v>0</v>
      </c>
      <c r="CF65" s="85"/>
      <c r="CG65" s="85"/>
      <c r="CH65" s="85"/>
      <c r="CI65" s="78"/>
      <c r="CJ65" s="78"/>
      <c r="CK65" s="74" t="str">
        <f t="shared" si="110"/>
        <v xml:space="preserve"> </v>
      </c>
      <c r="CL65" s="79" t="s">
        <v>221</v>
      </c>
      <c r="CM65" s="79" t="s">
        <v>221</v>
      </c>
      <c r="CN65" s="86" t="s">
        <v>221</v>
      </c>
      <c r="CO65" s="81">
        <v>0</v>
      </c>
      <c r="CP65" s="87"/>
      <c r="CQ65" s="83"/>
      <c r="CR65" s="83"/>
      <c r="CS65" s="82"/>
      <c r="CT65" s="82"/>
      <c r="CU65" s="74" t="str">
        <f t="shared" si="111"/>
        <v xml:space="preserve"> </v>
      </c>
      <c r="CV65" s="79" t="s">
        <v>221</v>
      </c>
      <c r="CW65" s="79" t="s">
        <v>221</v>
      </c>
      <c r="CX65" s="88" t="s">
        <v>221</v>
      </c>
      <c r="CY65" s="81">
        <v>0</v>
      </c>
      <c r="CZ65" s="89"/>
      <c r="DA65" s="67"/>
      <c r="DB65" s="67"/>
      <c r="DC65" s="78"/>
      <c r="DD65" s="78"/>
      <c r="DE65" s="74" t="str">
        <f t="shared" si="112"/>
        <v xml:space="preserve"> </v>
      </c>
      <c r="DF65" s="79" t="s">
        <v>221</v>
      </c>
      <c r="DG65" s="79" t="s">
        <v>221</v>
      </c>
      <c r="DH65" s="79" t="s">
        <v>221</v>
      </c>
      <c r="DI65" s="81">
        <v>0</v>
      </c>
      <c r="DJ65" s="87"/>
      <c r="DK65" s="83"/>
      <c r="DL65" s="83"/>
      <c r="DM65" s="82"/>
      <c r="DN65" s="82"/>
      <c r="DO65" s="74" t="str">
        <f t="shared" si="113"/>
        <v xml:space="preserve"> </v>
      </c>
      <c r="DP65" s="79" t="s">
        <v>221</v>
      </c>
      <c r="DQ65" s="79" t="s">
        <v>221</v>
      </c>
      <c r="DR65" s="79" t="s">
        <v>221</v>
      </c>
      <c r="DS65" s="81">
        <v>0</v>
      </c>
      <c r="DT65" s="89"/>
      <c r="DU65" s="67"/>
      <c r="DV65" s="67"/>
      <c r="DW65" s="78"/>
      <c r="DX65" s="78"/>
      <c r="DY65" s="74" t="str">
        <f t="shared" si="114"/>
        <v xml:space="preserve"> </v>
      </c>
      <c r="DZ65" s="94"/>
      <c r="EA65" s="94"/>
      <c r="EB65" s="94"/>
      <c r="EC65" s="94"/>
      <c r="ED65" s="87"/>
      <c r="EE65" s="83"/>
      <c r="EF65" s="83"/>
      <c r="EG65" s="82"/>
      <c r="EH65" s="82"/>
      <c r="EI65" s="74" t="str">
        <f t="shared" si="105"/>
        <v xml:space="preserve"> </v>
      </c>
      <c r="EJ65" s="92"/>
      <c r="EK65" s="92"/>
      <c r="EL65" s="92"/>
      <c r="EM65" s="92"/>
      <c r="EN65" s="89"/>
      <c r="EO65" s="67"/>
      <c r="EP65" s="67"/>
      <c r="EQ65" s="78"/>
      <c r="ER65" s="78"/>
      <c r="ES65" s="74" t="str">
        <f t="shared" si="106"/>
        <v xml:space="preserve"> </v>
      </c>
      <c r="ET65" s="94"/>
      <c r="EU65" s="94"/>
      <c r="EV65" s="94">
        <v>0</v>
      </c>
      <c r="EW65" s="76">
        <v>0</v>
      </c>
      <c r="EX65" s="87"/>
      <c r="EY65" s="83"/>
      <c r="EZ65" s="83"/>
      <c r="FA65" s="82"/>
      <c r="FB65" s="82"/>
      <c r="FC65" s="74" t="str">
        <f t="shared" si="115"/>
        <v xml:space="preserve"> </v>
      </c>
      <c r="FD65" s="92"/>
      <c r="FE65" s="92"/>
      <c r="FF65" s="92"/>
      <c r="FG65" s="92"/>
      <c r="FH65" s="76">
        <f t="shared" si="116"/>
        <v>0</v>
      </c>
      <c r="FI65" s="89"/>
      <c r="FJ65" s="67"/>
      <c r="FK65" s="67"/>
      <c r="FL65" s="78"/>
      <c r="FM65" s="78"/>
      <c r="FN65" s="74" t="str">
        <f t="shared" si="117"/>
        <v xml:space="preserve"> </v>
      </c>
      <c r="FO65" s="94"/>
      <c r="FP65" s="94"/>
      <c r="FQ65" s="94"/>
      <c r="FR65" s="94"/>
      <c r="FS65" s="76">
        <f t="shared" si="118"/>
        <v>0</v>
      </c>
      <c r="FT65" s="87"/>
      <c r="FU65" s="83"/>
      <c r="FV65" s="83"/>
      <c r="FW65" s="82"/>
      <c r="FX65" s="82"/>
      <c r="FY65" s="74" t="str">
        <f t="shared" si="119"/>
        <v xml:space="preserve"> </v>
      </c>
      <c r="FZ65" s="92"/>
      <c r="GA65" s="92"/>
      <c r="GB65" s="92"/>
      <c r="GC65" s="92"/>
      <c r="GD65" s="76">
        <f t="shared" si="120"/>
        <v>0</v>
      </c>
      <c r="GE65" s="62"/>
      <c r="GF65" s="96" t="s">
        <v>221</v>
      </c>
      <c r="GG65" s="96" t="s">
        <v>221</v>
      </c>
      <c r="GH65" s="63"/>
      <c r="GI65" s="63"/>
      <c r="GJ65" s="63"/>
      <c r="GK65" s="97">
        <f t="shared" si="84"/>
        <v>0</v>
      </c>
      <c r="GL65" s="98"/>
      <c r="GM65" s="98"/>
      <c r="GN65" s="97">
        <f t="shared" si="121"/>
        <v>0</v>
      </c>
      <c r="GO65" s="97" t="str">
        <f t="shared" si="122"/>
        <v xml:space="preserve"> </v>
      </c>
      <c r="GP65" s="62"/>
      <c r="GQ65" s="63"/>
      <c r="GR65" s="63"/>
      <c r="GS65" s="63"/>
      <c r="GT65" s="63"/>
      <c r="GU65" s="63"/>
      <c r="GV65" s="63"/>
      <c r="GW65" s="63"/>
      <c r="GX65" s="63"/>
      <c r="GY65" s="65" t="str">
        <f t="shared" si="138"/>
        <v/>
      </c>
      <c r="GZ65" s="65" t="str">
        <f t="shared" si="139"/>
        <v/>
      </c>
      <c r="HA65" s="63"/>
      <c r="HB65" s="63"/>
      <c r="HC65" s="63"/>
      <c r="HD65" s="63"/>
      <c r="HE65" s="63"/>
      <c r="HF65" s="63"/>
      <c r="HG65" s="63"/>
      <c r="HH65" s="63"/>
      <c r="HI65" s="63"/>
      <c r="HJ65" s="63"/>
      <c r="HK65" s="63"/>
      <c r="HL65" s="65" t="str">
        <f t="shared" si="140"/>
        <v/>
      </c>
      <c r="HM65" s="65" t="str">
        <f t="shared" si="124"/>
        <v/>
      </c>
      <c r="HN65" s="65" t="str">
        <f t="shared" si="141"/>
        <v/>
      </c>
      <c r="HO65" s="65" t="str">
        <f t="shared" si="142"/>
        <v/>
      </c>
      <c r="HP65" s="99" t="str">
        <f t="shared" si="130"/>
        <v/>
      </c>
      <c r="HQ65" s="99" t="str">
        <f t="shared" si="143"/>
        <v/>
      </c>
      <c r="HR65" s="63"/>
      <c r="HS65" s="63"/>
      <c r="HT65" s="63"/>
      <c r="HU65" s="63"/>
      <c r="HV65" s="63"/>
      <c r="HW65" s="63"/>
      <c r="HX65" s="63"/>
      <c r="HY65" s="63"/>
      <c r="HZ65" s="63"/>
      <c r="IA65" s="63"/>
      <c r="IB65" s="63"/>
      <c r="IC65" s="63"/>
      <c r="ID65" s="63"/>
      <c r="IE65" s="100"/>
      <c r="IF65" s="100"/>
      <c r="IG65" s="100"/>
      <c r="IH65" s="100"/>
      <c r="II65" s="100"/>
      <c r="IJ65" s="100"/>
      <c r="IK65" s="100"/>
      <c r="IL65" s="63"/>
      <c r="IM65" s="62"/>
      <c r="IN65" s="101"/>
      <c r="IO65" s="101"/>
      <c r="IP65" s="63"/>
      <c r="IQ65" s="63"/>
      <c r="IR65" s="63"/>
      <c r="IS65" s="63"/>
      <c r="IT65" s="63"/>
      <c r="IU65" s="63"/>
      <c r="IV65" s="63"/>
      <c r="IW65" s="63"/>
      <c r="IX65" s="63"/>
      <c r="IY65" s="63"/>
      <c r="IZ65" s="63"/>
      <c r="JA65" s="65">
        <f t="shared" si="107"/>
        <v>0</v>
      </c>
      <c r="JB65" s="63"/>
      <c r="JC65" s="101"/>
      <c r="JD65" s="101"/>
      <c r="JE65" s="63"/>
      <c r="JF65" s="63"/>
      <c r="JG65" s="63"/>
      <c r="JH65" s="63"/>
      <c r="JI65" s="63"/>
      <c r="JJ65" s="63"/>
      <c r="JK65" s="63"/>
      <c r="JL65" s="63"/>
      <c r="JM65" s="63"/>
      <c r="JN65" s="63"/>
      <c r="JO65" s="63"/>
      <c r="JP65" s="65">
        <f t="shared" si="133"/>
        <v>0</v>
      </c>
      <c r="JQ65" s="63"/>
      <c r="LM65" s="205"/>
      <c r="LN65" s="102">
        <f>IFERROR(ROWS($IL$8:IL65)," ")</f>
        <v>58</v>
      </c>
      <c r="LO65" s="103" t="str">
        <f>IFERROR(IF([1]Checklist!$C$3='GenInfo (2)'!E65,'GenInfo (2)'!LN65," ")," ")</f>
        <v xml:space="preserve"> </v>
      </c>
      <c r="LP65" s="104" t="str">
        <f>IFERROR(SMALL($LO$8:$LO$94,ROWS($IL$8:IL65))," ")</f>
        <v xml:space="preserve"> </v>
      </c>
      <c r="LQ65" s="102">
        <f>IFERROR(ROWS($IL$8:IL65)," ")</f>
        <v>58</v>
      </c>
      <c r="LR65" s="103" t="str">
        <f>IFERROR(IF([1]Checklist!$C$4='GenInfo (2)'!E65,'GenInfo (2)'!LQ65," ")," ")</f>
        <v xml:space="preserve"> </v>
      </c>
      <c r="LS65" s="104" t="str">
        <f>IFERROR(SMALL($LR$8:$LR$94,ROWS($IL$8:IL65))," ")</f>
        <v xml:space="preserve"> </v>
      </c>
      <c r="LT65" s="102">
        <f>IFERROR(ROWS($IL$8:IL65)," ")</f>
        <v>58</v>
      </c>
      <c r="LU65" s="103" t="str">
        <f>IFERROR(IF([1]Checklist!$C$5='GenInfo (2)'!E65,'GenInfo (2)'!LT65," ")," ")</f>
        <v xml:space="preserve"> </v>
      </c>
      <c r="LV65" s="104" t="str">
        <f>IFERROR(SMALL($LU$8:$LU$94,ROWS($IL$8:IL65))," ")</f>
        <v xml:space="preserve"> </v>
      </c>
      <c r="LW65" s="102">
        <f>IFERROR(ROWS($IL$8:IL65)," ")</f>
        <v>58</v>
      </c>
      <c r="LX65" s="103" t="str">
        <f>IFERROR(IF([1]Checklist!$C$6='GenInfo (2)'!E65,'GenInfo (2)'!LW65," ")," ")</f>
        <v xml:space="preserve"> </v>
      </c>
      <c r="LY65" s="104" t="str">
        <f>IFERROR(SMALL($LX$8:$LX$94,ROWS($IL$8:IL65))," ")</f>
        <v xml:space="preserve"> </v>
      </c>
      <c r="LZ65" s="102">
        <f>IFERROR(ROWS($IL$8:IL65)," ")</f>
        <v>58</v>
      </c>
      <c r="MA65" s="103" t="str">
        <f>IFERROR(IF([1]Checklist!$C$7='GenInfo (2)'!E65,'GenInfo (2)'!LZ65," ")," ")</f>
        <v xml:space="preserve"> </v>
      </c>
      <c r="MB65" s="104" t="str">
        <f>IFERROR(SMALL($MA$8:$MA$94,ROWS($IL$8:IL65))," ")</f>
        <v xml:space="preserve"> </v>
      </c>
      <c r="MC65" s="102">
        <f>IFERROR(ROWS($IL$8:IL65)," ")</f>
        <v>58</v>
      </c>
      <c r="MD65" s="103" t="str">
        <f>IFERROR(IF([1]Checklist!$C$8='GenInfo (2)'!E65,'GenInfo (2)'!MC65," ")," ")</f>
        <v xml:space="preserve"> </v>
      </c>
      <c r="ME65" s="104" t="str">
        <f>IFERROR(SMALL($MD$8:$MD$94,ROWS($IL$8:IL65))," ")</f>
        <v xml:space="preserve"> </v>
      </c>
      <c r="MF65" s="102">
        <f>IFERROR(ROWS($IL$8:IL65)," ")</f>
        <v>58</v>
      </c>
      <c r="MG65" s="103" t="str">
        <f>IFERROR(IF([1]Checklist!$C$9='GenInfo (2)'!E65,'GenInfo (2)'!MF65," ")," ")</f>
        <v xml:space="preserve"> </v>
      </c>
      <c r="MH65" s="104" t="str">
        <f>IFERROR(SMALL($MG$8:$MG$94,ROWS($IL$8:IL65))," ")</f>
        <v xml:space="preserve"> </v>
      </c>
      <c r="MI65" s="102">
        <f>IFERROR(ROWS($IL$8:$IL65)," ")</f>
        <v>58</v>
      </c>
      <c r="MJ65" s="103" t="str">
        <f>IFERROR(IF([1]Checklist!$C$10='GenInfo (2)'!E65,'GenInfo (2)'!MI65," ")," ")</f>
        <v xml:space="preserve"> </v>
      </c>
      <c r="MK65" s="104" t="str">
        <f>IFERROR(SMALL($MJ$8:$MJ$94,ROWS($IL$8:IL65))," ")</f>
        <v xml:space="preserve"> </v>
      </c>
      <c r="ML65" s="102">
        <f>IFERROR(ROWS($IL$8:IL65)," ")</f>
        <v>58</v>
      </c>
      <c r="MM65" s="103" t="str">
        <f>IFERROR(IF([1]Checklist!$C$11='GenInfo (2)'!E65,'GenInfo (2)'!ML65," ")," ")</f>
        <v xml:space="preserve"> </v>
      </c>
      <c r="MN65" s="104" t="str">
        <f>IFERROR(SMALL($MM$8:$MM$94,ROWS($IL$8:IL65))," ")</f>
        <v xml:space="preserve"> </v>
      </c>
      <c r="MO65" s="102">
        <f>IFERROR(ROWS($IL$8:IL65)," ")</f>
        <v>58</v>
      </c>
      <c r="MP65" s="103" t="str">
        <f>IFERROR(IF([1]Checklist!$C$12='GenInfo (2)'!E65,'GenInfo (2)'!MO65," ")," ")</f>
        <v xml:space="preserve"> </v>
      </c>
      <c r="MQ65" s="104" t="str">
        <f>IFERROR(SMALL($MP$8:$MP$94,ROWS($IL$8:IL65))," ")</f>
        <v xml:space="preserve"> </v>
      </c>
      <c r="MR65" s="102">
        <f>IFERROR(ROWS($IL$8:IL65)," ")</f>
        <v>58</v>
      </c>
      <c r="MS65" s="103" t="str">
        <f>IFERROR(IF([1]Checklist!$C$13='GenInfo (2)'!E65,'GenInfo (2)'!MR65," ")," ")</f>
        <v xml:space="preserve"> </v>
      </c>
      <c r="MT65" s="104" t="str">
        <f>IFERROR(SMALL($MS$8:$MS$94,ROWS($IL$8:IL65))," ")</f>
        <v xml:space="preserve"> </v>
      </c>
      <c r="MU65" s="102">
        <f>IFERROR(ROWS($IL$8:IL65)," ")</f>
        <v>58</v>
      </c>
      <c r="MV65" s="103" t="str">
        <f>IFERROR(IF([1]Checklist!$C$14='GenInfo (2)'!E65,'GenInfo (2)'!MU65," ")," ")</f>
        <v xml:space="preserve"> </v>
      </c>
      <c r="MW65" s="104" t="str">
        <f>IFERROR(SMALL($MV$8:$MV$94,ROWS($IL$8:IL65))," ")</f>
        <v xml:space="preserve"> </v>
      </c>
      <c r="MX65" s="102">
        <f>IFERROR(ROWS($IL$8:IL65)," ")</f>
        <v>58</v>
      </c>
      <c r="MY65" s="103" t="str">
        <f>IFERROR(IF([1]Checklist!$C$15='GenInfo (2)'!E65,'GenInfo (2)'!MX65," ")," ")</f>
        <v xml:space="preserve"> </v>
      </c>
      <c r="MZ65" s="104" t="str">
        <f>IFERROR(SMALL($MY$8:$MY$94,ROWS($IL$8:IL65))," ")</f>
        <v xml:space="preserve"> </v>
      </c>
      <c r="NA65" s="102">
        <f>IFERROR(ROWS($IL$8:IL65)," ")</f>
        <v>58</v>
      </c>
      <c r="NB65" s="103" t="str">
        <f>IFERROR(IF([1]Checklist!$C$16='GenInfo (2)'!E65,'GenInfo (2)'!NA65," ")," ")</f>
        <v xml:space="preserve"> </v>
      </c>
      <c r="NC65" s="104" t="str">
        <f>IFERROR(SMALL($NB$8:$NB$94,ROWS($IL$8:IL65))," ")</f>
        <v xml:space="preserve"> </v>
      </c>
      <c r="ND65" s="102">
        <f>IFERROR(ROWS($IL$8:IL65)," ")</f>
        <v>58</v>
      </c>
      <c r="NE65" s="103" t="str">
        <f>IFERROR(IF([1]Checklist!$C$17='GenInfo (2)'!E65,'GenInfo (2)'!ND65," ")," ")</f>
        <v xml:space="preserve"> </v>
      </c>
      <c r="NF65" s="104" t="str">
        <f>IFERROR(SMALL($NE$8:$NE$94,ROWS($IL$8:IL65))," ")</f>
        <v xml:space="preserve"> </v>
      </c>
    </row>
    <row r="66" spans="5:370" ht="14.25" x14ac:dyDescent="0.45">
      <c r="E66" s="64"/>
      <c r="F66" s="63"/>
      <c r="G66" s="64"/>
      <c r="H66" s="63"/>
      <c r="I66" s="63"/>
      <c r="J66" s="63"/>
      <c r="K66" s="62"/>
      <c r="L66" s="67"/>
      <c r="M66" s="67"/>
      <c r="N66" s="67"/>
      <c r="O66" s="68"/>
      <c r="P66" s="67"/>
      <c r="Q66" s="67"/>
      <c r="R66" s="63"/>
      <c r="S66" s="67"/>
      <c r="T66" s="63"/>
      <c r="U66" s="62"/>
      <c r="V66" s="63"/>
      <c r="W66" s="63"/>
      <c r="X66" s="69"/>
      <c r="Y66" s="63"/>
      <c r="Z66" s="69"/>
      <c r="AA66" s="62"/>
      <c r="AB66" s="63"/>
      <c r="AC66" s="63"/>
      <c r="AD66" s="63"/>
      <c r="AE66" s="63"/>
      <c r="AF66" s="63"/>
      <c r="AG66" s="63"/>
      <c r="AH66" s="63"/>
      <c r="AI66" s="63"/>
      <c r="AJ66" s="63"/>
      <c r="AK66" s="62"/>
      <c r="AL66" s="71">
        <f t="shared" si="95"/>
        <v>0</v>
      </c>
      <c r="AM66" s="71">
        <f t="shared" ca="1" si="137"/>
        <v>122</v>
      </c>
      <c r="AN66" s="63"/>
      <c r="AO66" s="72" t="str">
        <f t="shared" ca="1" si="97"/>
        <v/>
      </c>
      <c r="AP66" s="63"/>
      <c r="AQ66" s="73"/>
      <c r="AR66" s="70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2"/>
      <c r="BE66" s="71">
        <f t="shared" ref="BE66:BF94" si="144">IFERROR(COUNTIF(CI66,"&gt;0")+COUNTIF(CS66,"&gt;0")+COUNTIF(DC66,"&gt;0")+COUNTIF(DM66,"&gt;0")+COUNTIF(DW66,"&gt;0")+COUNTIF(EG66,"&gt;0")," ")</f>
        <v>0</v>
      </c>
      <c r="BF66" s="71">
        <f t="shared" si="144"/>
        <v>0</v>
      </c>
      <c r="BG66" s="71">
        <f t="shared" si="99"/>
        <v>0</v>
      </c>
      <c r="BH66" s="74" t="str">
        <f t="shared" si="100"/>
        <v xml:space="preserve"> </v>
      </c>
      <c r="BI66" s="75" t="str">
        <f t="shared" si="101"/>
        <v xml:space="preserve"> </v>
      </c>
      <c r="BJ66" s="71">
        <f t="shared" si="102"/>
        <v>0</v>
      </c>
      <c r="BK66" s="75" t="str">
        <f t="shared" si="103"/>
        <v xml:space="preserve"> </v>
      </c>
      <c r="BL66" s="76">
        <f t="shared" ref="BL66:BM94" si="145">IFERROR(SUM(BV66,CD66,CN66,CW66,DH66,DR66,EB66,EL66),"")</f>
        <v>0</v>
      </c>
      <c r="BM66" s="77">
        <f t="shared" si="145"/>
        <v>0</v>
      </c>
      <c r="BN66" s="78"/>
      <c r="BO66" s="67"/>
      <c r="BP66" s="67"/>
      <c r="BQ66" s="63"/>
      <c r="BR66" s="63"/>
      <c r="BS66" s="74" t="str">
        <f t="shared" si="108"/>
        <v xml:space="preserve"> </v>
      </c>
      <c r="BT66" s="79" t="s">
        <v>221</v>
      </c>
      <c r="BU66" s="79" t="s">
        <v>221</v>
      </c>
      <c r="BV66" s="80">
        <v>0</v>
      </c>
      <c r="BW66" s="81">
        <v>0</v>
      </c>
      <c r="BX66" s="82"/>
      <c r="BY66" s="83"/>
      <c r="BZ66" s="83"/>
      <c r="CA66" s="84"/>
      <c r="CB66" s="84"/>
      <c r="CC66" s="74" t="str">
        <f t="shared" si="109"/>
        <v xml:space="preserve"> </v>
      </c>
      <c r="CD66" s="79" t="s">
        <v>221</v>
      </c>
      <c r="CE66" s="81">
        <v>0</v>
      </c>
      <c r="CF66" s="85"/>
      <c r="CG66" s="85"/>
      <c r="CH66" s="85"/>
      <c r="CI66" s="78"/>
      <c r="CJ66" s="78"/>
      <c r="CK66" s="74" t="str">
        <f t="shared" si="110"/>
        <v xml:space="preserve"> </v>
      </c>
      <c r="CL66" s="79" t="s">
        <v>221</v>
      </c>
      <c r="CM66" s="79" t="s">
        <v>221</v>
      </c>
      <c r="CN66" s="86" t="s">
        <v>221</v>
      </c>
      <c r="CO66" s="81">
        <v>0</v>
      </c>
      <c r="CP66" s="87"/>
      <c r="CQ66" s="83"/>
      <c r="CR66" s="83"/>
      <c r="CS66" s="82"/>
      <c r="CT66" s="82"/>
      <c r="CU66" s="74" t="str">
        <f t="shared" si="111"/>
        <v xml:space="preserve"> </v>
      </c>
      <c r="CV66" s="79" t="s">
        <v>221</v>
      </c>
      <c r="CW66" s="79" t="s">
        <v>221</v>
      </c>
      <c r="CX66" s="88" t="s">
        <v>221</v>
      </c>
      <c r="CY66" s="81">
        <v>0</v>
      </c>
      <c r="CZ66" s="89"/>
      <c r="DA66" s="67"/>
      <c r="DB66" s="67"/>
      <c r="DC66" s="78"/>
      <c r="DD66" s="78"/>
      <c r="DE66" s="74" t="str">
        <f t="shared" si="112"/>
        <v xml:space="preserve"> </v>
      </c>
      <c r="DF66" s="79" t="s">
        <v>221</v>
      </c>
      <c r="DG66" s="79" t="s">
        <v>221</v>
      </c>
      <c r="DH66" s="79" t="s">
        <v>221</v>
      </c>
      <c r="DI66" s="81">
        <v>0</v>
      </c>
      <c r="DJ66" s="87"/>
      <c r="DK66" s="83"/>
      <c r="DL66" s="83"/>
      <c r="DM66" s="82"/>
      <c r="DN66" s="82"/>
      <c r="DO66" s="74" t="str">
        <f t="shared" si="113"/>
        <v xml:space="preserve"> </v>
      </c>
      <c r="DP66" s="79" t="s">
        <v>221</v>
      </c>
      <c r="DQ66" s="79" t="s">
        <v>221</v>
      </c>
      <c r="DR66" s="79" t="s">
        <v>221</v>
      </c>
      <c r="DS66" s="81">
        <v>0</v>
      </c>
      <c r="DT66" s="89"/>
      <c r="DU66" s="67"/>
      <c r="DV66" s="67"/>
      <c r="DW66" s="78"/>
      <c r="DX66" s="78"/>
      <c r="DY66" s="74" t="str">
        <f t="shared" si="114"/>
        <v xml:space="preserve"> </v>
      </c>
      <c r="DZ66" s="94"/>
      <c r="EA66" s="94"/>
      <c r="EB66" s="94"/>
      <c r="EC66" s="94"/>
      <c r="ED66" s="87"/>
      <c r="EE66" s="83"/>
      <c r="EF66" s="83"/>
      <c r="EG66" s="82"/>
      <c r="EH66" s="82"/>
      <c r="EI66" s="74" t="str">
        <f t="shared" si="105"/>
        <v xml:space="preserve"> </v>
      </c>
      <c r="EJ66" s="92"/>
      <c r="EK66" s="92"/>
      <c r="EL66" s="92"/>
      <c r="EM66" s="92"/>
      <c r="EN66" s="89"/>
      <c r="EO66" s="67"/>
      <c r="EP66" s="67"/>
      <c r="EQ66" s="78"/>
      <c r="ER66" s="78"/>
      <c r="ES66" s="74" t="str">
        <f t="shared" si="106"/>
        <v xml:space="preserve"> </v>
      </c>
      <c r="ET66" s="94"/>
      <c r="EU66" s="94"/>
      <c r="EV66" s="94">
        <v>0</v>
      </c>
      <c r="EW66" s="76">
        <v>0</v>
      </c>
      <c r="EX66" s="87"/>
      <c r="EY66" s="83"/>
      <c r="EZ66" s="83"/>
      <c r="FA66" s="82"/>
      <c r="FB66" s="82"/>
      <c r="FC66" s="74" t="str">
        <f t="shared" si="115"/>
        <v xml:space="preserve"> </v>
      </c>
      <c r="FD66" s="92"/>
      <c r="FE66" s="92"/>
      <c r="FF66" s="92"/>
      <c r="FG66" s="92"/>
      <c r="FH66" s="76">
        <f t="shared" si="116"/>
        <v>0</v>
      </c>
      <c r="FI66" s="89"/>
      <c r="FJ66" s="67"/>
      <c r="FK66" s="67"/>
      <c r="FL66" s="78"/>
      <c r="FM66" s="78"/>
      <c r="FN66" s="74" t="str">
        <f t="shared" si="117"/>
        <v xml:space="preserve"> </v>
      </c>
      <c r="FO66" s="94"/>
      <c r="FP66" s="94"/>
      <c r="FQ66" s="94"/>
      <c r="FR66" s="94"/>
      <c r="FS66" s="76">
        <f t="shared" si="118"/>
        <v>0</v>
      </c>
      <c r="FT66" s="87"/>
      <c r="FU66" s="83"/>
      <c r="FV66" s="83"/>
      <c r="FW66" s="82"/>
      <c r="FX66" s="82"/>
      <c r="FY66" s="74" t="str">
        <f t="shared" si="119"/>
        <v xml:space="preserve"> </v>
      </c>
      <c r="FZ66" s="92"/>
      <c r="GA66" s="92"/>
      <c r="GB66" s="92"/>
      <c r="GC66" s="92"/>
      <c r="GD66" s="76">
        <f t="shared" si="120"/>
        <v>0</v>
      </c>
      <c r="GE66" s="62"/>
      <c r="GF66" s="96" t="s">
        <v>221</v>
      </c>
      <c r="GG66" s="96" t="s">
        <v>221</v>
      </c>
      <c r="GH66" s="63"/>
      <c r="GI66" s="63"/>
      <c r="GJ66" s="63"/>
      <c r="GK66" s="97">
        <f t="shared" si="84"/>
        <v>0</v>
      </c>
      <c r="GL66" s="98"/>
      <c r="GM66" s="98"/>
      <c r="GN66" s="97">
        <f t="shared" si="121"/>
        <v>0</v>
      </c>
      <c r="GO66" s="97" t="str">
        <f t="shared" si="122"/>
        <v xml:space="preserve"> </v>
      </c>
      <c r="GP66" s="62"/>
      <c r="GQ66" s="63"/>
      <c r="GR66" s="63"/>
      <c r="GS66" s="63"/>
      <c r="GT66" s="63"/>
      <c r="GU66" s="63"/>
      <c r="GV66" s="63"/>
      <c r="GW66" s="63"/>
      <c r="GX66" s="63"/>
      <c r="GY66" s="65" t="str">
        <f t="shared" si="138"/>
        <v/>
      </c>
      <c r="GZ66" s="65" t="str">
        <f t="shared" si="139"/>
        <v/>
      </c>
      <c r="HA66" s="63"/>
      <c r="HB66" s="63"/>
      <c r="HC66" s="63"/>
      <c r="HD66" s="63"/>
      <c r="HE66" s="63"/>
      <c r="HF66" s="63"/>
      <c r="HG66" s="63"/>
      <c r="HH66" s="63"/>
      <c r="HI66" s="63"/>
      <c r="HJ66" s="63"/>
      <c r="HK66" s="63"/>
      <c r="HL66" s="65" t="str">
        <f t="shared" si="140"/>
        <v/>
      </c>
      <c r="HM66" s="65" t="str">
        <f t="shared" si="124"/>
        <v/>
      </c>
      <c r="HN66" s="65" t="str">
        <f t="shared" si="141"/>
        <v/>
      </c>
      <c r="HO66" s="65" t="str">
        <f t="shared" si="142"/>
        <v/>
      </c>
      <c r="HP66" s="99" t="str">
        <f t="shared" si="130"/>
        <v/>
      </c>
      <c r="HQ66" s="99" t="str">
        <f t="shared" si="143"/>
        <v/>
      </c>
      <c r="HR66" s="63"/>
      <c r="HS66" s="63"/>
      <c r="HT66" s="63"/>
      <c r="HU66" s="63"/>
      <c r="HV66" s="63"/>
      <c r="HW66" s="63"/>
      <c r="HX66" s="63"/>
      <c r="HY66" s="63"/>
      <c r="HZ66" s="63"/>
      <c r="IA66" s="63"/>
      <c r="IB66" s="63"/>
      <c r="IC66" s="63"/>
      <c r="ID66" s="63"/>
      <c r="IE66" s="100"/>
      <c r="IF66" s="100"/>
      <c r="IG66" s="100"/>
      <c r="IH66" s="100"/>
      <c r="II66" s="100"/>
      <c r="IJ66" s="100"/>
      <c r="IK66" s="100"/>
      <c r="IL66" s="63"/>
      <c r="IM66" s="62"/>
      <c r="IN66" s="101"/>
      <c r="IO66" s="101"/>
      <c r="IP66" s="63"/>
      <c r="IQ66" s="63"/>
      <c r="IR66" s="63"/>
      <c r="IS66" s="63"/>
      <c r="IT66" s="63"/>
      <c r="IU66" s="63"/>
      <c r="IV66" s="63"/>
      <c r="IW66" s="63"/>
      <c r="IX66" s="63"/>
      <c r="IY66" s="63"/>
      <c r="IZ66" s="63"/>
      <c r="JA66" s="65">
        <f t="shared" si="107"/>
        <v>0</v>
      </c>
      <c r="JB66" s="63"/>
      <c r="JC66" s="101"/>
      <c r="JD66" s="101"/>
      <c r="JE66" s="63"/>
      <c r="JF66" s="63"/>
      <c r="JG66" s="63"/>
      <c r="JH66" s="63"/>
      <c r="JI66" s="63"/>
      <c r="JJ66" s="63"/>
      <c r="JK66" s="63"/>
      <c r="JL66" s="63"/>
      <c r="JM66" s="63"/>
      <c r="JN66" s="63"/>
      <c r="JO66" s="63"/>
      <c r="JP66" s="65">
        <f t="shared" si="133"/>
        <v>0</v>
      </c>
      <c r="JQ66" s="63"/>
      <c r="LM66" s="205"/>
      <c r="LN66" s="102">
        <f>IFERROR(ROWS($IL$8:IL66)," ")</f>
        <v>59</v>
      </c>
      <c r="LO66" s="103" t="str">
        <f>IFERROR(IF([1]Checklist!$C$3='GenInfo (2)'!E66,'GenInfo (2)'!LN66," ")," ")</f>
        <v xml:space="preserve"> </v>
      </c>
      <c r="LP66" s="104" t="str">
        <f>IFERROR(SMALL($LO$8:$LO$94,ROWS($IL$8:IL66))," ")</f>
        <v xml:space="preserve"> </v>
      </c>
      <c r="LQ66" s="102">
        <f>IFERROR(ROWS($IL$8:IL66)," ")</f>
        <v>59</v>
      </c>
      <c r="LR66" s="103" t="str">
        <f>IFERROR(IF([1]Checklist!$C$4='GenInfo (2)'!E66,'GenInfo (2)'!LQ66," ")," ")</f>
        <v xml:space="preserve"> </v>
      </c>
      <c r="LS66" s="104" t="str">
        <f>IFERROR(SMALL($LR$8:$LR$94,ROWS($IL$8:IL66))," ")</f>
        <v xml:space="preserve"> </v>
      </c>
      <c r="LT66" s="102">
        <f>IFERROR(ROWS($IL$8:IL66)," ")</f>
        <v>59</v>
      </c>
      <c r="LU66" s="103" t="str">
        <f>IFERROR(IF([1]Checklist!$C$5='GenInfo (2)'!E66,'GenInfo (2)'!LT66," ")," ")</f>
        <v xml:space="preserve"> </v>
      </c>
      <c r="LV66" s="104" t="str">
        <f>IFERROR(SMALL($LU$8:$LU$94,ROWS($IL$8:IL66))," ")</f>
        <v xml:space="preserve"> </v>
      </c>
      <c r="LW66" s="102">
        <f>IFERROR(ROWS($IL$8:IL66)," ")</f>
        <v>59</v>
      </c>
      <c r="LX66" s="103" t="str">
        <f>IFERROR(IF([1]Checklist!$C$6='GenInfo (2)'!E66,'GenInfo (2)'!LW66," ")," ")</f>
        <v xml:space="preserve"> </v>
      </c>
      <c r="LY66" s="104" t="str">
        <f>IFERROR(SMALL($LX$8:$LX$94,ROWS($IL$8:IL66))," ")</f>
        <v xml:space="preserve"> </v>
      </c>
      <c r="LZ66" s="102">
        <f>IFERROR(ROWS($IL$8:IL66)," ")</f>
        <v>59</v>
      </c>
      <c r="MA66" s="103" t="str">
        <f>IFERROR(IF([1]Checklist!$C$7='GenInfo (2)'!E66,'GenInfo (2)'!LZ66," ")," ")</f>
        <v xml:space="preserve"> </v>
      </c>
      <c r="MB66" s="104" t="str">
        <f>IFERROR(SMALL($MA$8:$MA$94,ROWS($IL$8:IL66))," ")</f>
        <v xml:space="preserve"> </v>
      </c>
      <c r="MC66" s="102">
        <f>IFERROR(ROWS($IL$8:IL66)," ")</f>
        <v>59</v>
      </c>
      <c r="MD66" s="103" t="str">
        <f>IFERROR(IF([1]Checklist!$C$8='GenInfo (2)'!E66,'GenInfo (2)'!MC66," ")," ")</f>
        <v xml:space="preserve"> </v>
      </c>
      <c r="ME66" s="104" t="str">
        <f>IFERROR(SMALL($MD$8:$MD$94,ROWS($IL$8:IL66))," ")</f>
        <v xml:space="preserve"> </v>
      </c>
      <c r="MF66" s="102">
        <f>IFERROR(ROWS($IL$8:IL66)," ")</f>
        <v>59</v>
      </c>
      <c r="MG66" s="103" t="str">
        <f>IFERROR(IF([1]Checklist!$C$9='GenInfo (2)'!E66,'GenInfo (2)'!MF66," ")," ")</f>
        <v xml:space="preserve"> </v>
      </c>
      <c r="MH66" s="104" t="str">
        <f>IFERROR(SMALL($MG$8:$MG$94,ROWS($IL$8:IL66))," ")</f>
        <v xml:space="preserve"> </v>
      </c>
      <c r="MI66" s="102">
        <f>IFERROR(ROWS($IL$8:$IL66)," ")</f>
        <v>59</v>
      </c>
      <c r="MJ66" s="103" t="str">
        <f>IFERROR(IF([1]Checklist!$C$10='GenInfo (2)'!E66,'GenInfo (2)'!MI66," ")," ")</f>
        <v xml:space="preserve"> </v>
      </c>
      <c r="MK66" s="104" t="str">
        <f>IFERROR(SMALL($MJ$8:$MJ$94,ROWS($IL$8:IL66))," ")</f>
        <v xml:space="preserve"> </v>
      </c>
      <c r="ML66" s="102">
        <f>IFERROR(ROWS($IL$8:IL66)," ")</f>
        <v>59</v>
      </c>
      <c r="MM66" s="103" t="str">
        <f>IFERROR(IF([1]Checklist!$C$11='GenInfo (2)'!E66,'GenInfo (2)'!ML66," ")," ")</f>
        <v xml:space="preserve"> </v>
      </c>
      <c r="MN66" s="104" t="str">
        <f>IFERROR(SMALL($MM$8:$MM$94,ROWS($IL$8:IL66))," ")</f>
        <v xml:space="preserve"> </v>
      </c>
      <c r="MO66" s="102">
        <f>IFERROR(ROWS($IL$8:IL66)," ")</f>
        <v>59</v>
      </c>
      <c r="MP66" s="103" t="str">
        <f>IFERROR(IF([1]Checklist!$C$12='GenInfo (2)'!E66,'GenInfo (2)'!MO66," ")," ")</f>
        <v xml:space="preserve"> </v>
      </c>
      <c r="MQ66" s="104" t="str">
        <f>IFERROR(SMALL($MP$8:$MP$94,ROWS($IL$8:IL66))," ")</f>
        <v xml:space="preserve"> </v>
      </c>
      <c r="MR66" s="102">
        <f>IFERROR(ROWS($IL$8:IL66)," ")</f>
        <v>59</v>
      </c>
      <c r="MS66" s="103" t="str">
        <f>IFERROR(IF([1]Checklist!$C$13='GenInfo (2)'!E66,'GenInfo (2)'!MR66," ")," ")</f>
        <v xml:space="preserve"> </v>
      </c>
      <c r="MT66" s="104" t="str">
        <f>IFERROR(SMALL($MS$8:$MS$94,ROWS($IL$8:IL66))," ")</f>
        <v xml:space="preserve"> </v>
      </c>
      <c r="MU66" s="102">
        <f>IFERROR(ROWS($IL$8:IL66)," ")</f>
        <v>59</v>
      </c>
      <c r="MV66" s="103" t="str">
        <f>IFERROR(IF([1]Checklist!$C$14='GenInfo (2)'!E66,'GenInfo (2)'!MU66," ")," ")</f>
        <v xml:space="preserve"> </v>
      </c>
      <c r="MW66" s="104" t="str">
        <f>IFERROR(SMALL($MV$8:$MV$94,ROWS($IL$8:IL66))," ")</f>
        <v xml:space="preserve"> </v>
      </c>
      <c r="MX66" s="102">
        <f>IFERROR(ROWS($IL$8:IL66)," ")</f>
        <v>59</v>
      </c>
      <c r="MY66" s="103" t="str">
        <f>IFERROR(IF([1]Checklist!$C$15='GenInfo (2)'!E66,'GenInfo (2)'!MX66," ")," ")</f>
        <v xml:space="preserve"> </v>
      </c>
      <c r="MZ66" s="104" t="str">
        <f>IFERROR(SMALL($MY$8:$MY$94,ROWS($IL$8:IL66))," ")</f>
        <v xml:space="preserve"> </v>
      </c>
      <c r="NA66" s="102">
        <f>IFERROR(ROWS($IL$8:IL66)," ")</f>
        <v>59</v>
      </c>
      <c r="NB66" s="103" t="str">
        <f>IFERROR(IF([1]Checklist!$C$16='GenInfo (2)'!E66,'GenInfo (2)'!NA66," ")," ")</f>
        <v xml:space="preserve"> </v>
      </c>
      <c r="NC66" s="104" t="str">
        <f>IFERROR(SMALL($NB$8:$NB$94,ROWS($IL$8:IL66))," ")</f>
        <v xml:space="preserve"> </v>
      </c>
      <c r="ND66" s="102">
        <f>IFERROR(ROWS($IL$8:IL66)," ")</f>
        <v>59</v>
      </c>
      <c r="NE66" s="103" t="str">
        <f>IFERROR(IF([1]Checklist!$C$17='GenInfo (2)'!E66,'GenInfo (2)'!ND66," ")," ")</f>
        <v xml:space="preserve"> </v>
      </c>
      <c r="NF66" s="104" t="str">
        <f>IFERROR(SMALL($NE$8:$NE$94,ROWS($IL$8:IL66))," ")</f>
        <v xml:space="preserve"> </v>
      </c>
    </row>
    <row r="67" spans="5:370" ht="14.25" x14ac:dyDescent="0.45">
      <c r="E67" s="64"/>
      <c r="F67" s="63"/>
      <c r="G67" s="64"/>
      <c r="H67" s="63"/>
      <c r="I67" s="63"/>
      <c r="J67" s="63"/>
      <c r="K67" s="62"/>
      <c r="L67" s="67"/>
      <c r="M67" s="67"/>
      <c r="N67" s="67"/>
      <c r="O67" s="68"/>
      <c r="P67" s="67"/>
      <c r="Q67" s="67"/>
      <c r="R67" s="63"/>
      <c r="S67" s="67"/>
      <c r="T67" s="63"/>
      <c r="U67" s="62"/>
      <c r="V67" s="63"/>
      <c r="W67" s="63"/>
      <c r="X67" s="69"/>
      <c r="Y67" s="63"/>
      <c r="Z67" s="69"/>
      <c r="AA67" s="62"/>
      <c r="AB67" s="63"/>
      <c r="AC67" s="63"/>
      <c r="AD67" s="63"/>
      <c r="AE67" s="63"/>
      <c r="AF67" s="63"/>
      <c r="AG67" s="63"/>
      <c r="AH67" s="63"/>
      <c r="AI67" s="63"/>
      <c r="AJ67" s="63"/>
      <c r="AK67" s="62"/>
      <c r="AL67" s="71">
        <f t="shared" si="95"/>
        <v>0</v>
      </c>
      <c r="AM67" s="71">
        <f t="shared" ca="1" si="137"/>
        <v>122</v>
      </c>
      <c r="AN67" s="63"/>
      <c r="AO67" s="72" t="str">
        <f t="shared" ca="1" si="97"/>
        <v/>
      </c>
      <c r="AP67" s="63"/>
      <c r="AQ67" s="73"/>
      <c r="AR67" s="70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2"/>
      <c r="BE67" s="71">
        <f t="shared" si="144"/>
        <v>0</v>
      </c>
      <c r="BF67" s="71">
        <f t="shared" si="144"/>
        <v>0</v>
      </c>
      <c r="BG67" s="71">
        <f t="shared" si="99"/>
        <v>0</v>
      </c>
      <c r="BH67" s="74" t="str">
        <f t="shared" si="100"/>
        <v xml:space="preserve"> </v>
      </c>
      <c r="BI67" s="75" t="str">
        <f t="shared" si="101"/>
        <v xml:space="preserve"> </v>
      </c>
      <c r="BJ67" s="71">
        <f t="shared" si="102"/>
        <v>0</v>
      </c>
      <c r="BK67" s="75" t="str">
        <f t="shared" si="103"/>
        <v xml:space="preserve"> </v>
      </c>
      <c r="BL67" s="76">
        <f t="shared" si="145"/>
        <v>0</v>
      </c>
      <c r="BM67" s="77">
        <f t="shared" si="145"/>
        <v>0</v>
      </c>
      <c r="BN67" s="78"/>
      <c r="BO67" s="67"/>
      <c r="BP67" s="67"/>
      <c r="BQ67" s="63"/>
      <c r="BR67" s="63"/>
      <c r="BS67" s="74" t="str">
        <f t="shared" si="108"/>
        <v xml:space="preserve"> </v>
      </c>
      <c r="BT67" s="79" t="s">
        <v>221</v>
      </c>
      <c r="BU67" s="79" t="s">
        <v>221</v>
      </c>
      <c r="BV67" s="80">
        <v>0</v>
      </c>
      <c r="BW67" s="81">
        <v>0</v>
      </c>
      <c r="BX67" s="82"/>
      <c r="BY67" s="83"/>
      <c r="BZ67" s="83"/>
      <c r="CA67" s="84"/>
      <c r="CB67" s="84"/>
      <c r="CC67" s="74" t="str">
        <f t="shared" si="109"/>
        <v xml:space="preserve"> </v>
      </c>
      <c r="CD67" s="79" t="s">
        <v>221</v>
      </c>
      <c r="CE67" s="81">
        <v>0</v>
      </c>
      <c r="CF67" s="85"/>
      <c r="CG67" s="85"/>
      <c r="CH67" s="85"/>
      <c r="CI67" s="78"/>
      <c r="CJ67" s="78"/>
      <c r="CK67" s="74" t="str">
        <f t="shared" si="110"/>
        <v xml:space="preserve"> </v>
      </c>
      <c r="CL67" s="79" t="s">
        <v>221</v>
      </c>
      <c r="CM67" s="79" t="s">
        <v>221</v>
      </c>
      <c r="CN67" s="86" t="s">
        <v>221</v>
      </c>
      <c r="CO67" s="81">
        <v>0</v>
      </c>
      <c r="CP67" s="87"/>
      <c r="CQ67" s="83"/>
      <c r="CR67" s="83"/>
      <c r="CS67" s="82"/>
      <c r="CT67" s="82"/>
      <c r="CU67" s="74" t="str">
        <f t="shared" si="111"/>
        <v xml:space="preserve"> </v>
      </c>
      <c r="CV67" s="79" t="s">
        <v>221</v>
      </c>
      <c r="CW67" s="79" t="s">
        <v>221</v>
      </c>
      <c r="CX67" s="88" t="s">
        <v>221</v>
      </c>
      <c r="CY67" s="81">
        <v>0</v>
      </c>
      <c r="CZ67" s="89"/>
      <c r="DA67" s="67"/>
      <c r="DB67" s="67"/>
      <c r="DC67" s="78"/>
      <c r="DD67" s="78"/>
      <c r="DE67" s="74" t="str">
        <f t="shared" si="112"/>
        <v xml:space="preserve"> </v>
      </c>
      <c r="DF67" s="79" t="s">
        <v>221</v>
      </c>
      <c r="DG67" s="79" t="s">
        <v>221</v>
      </c>
      <c r="DH67" s="79" t="s">
        <v>221</v>
      </c>
      <c r="DI67" s="81">
        <v>0</v>
      </c>
      <c r="DJ67" s="87"/>
      <c r="DK67" s="83"/>
      <c r="DL67" s="83"/>
      <c r="DM67" s="82"/>
      <c r="DN67" s="82"/>
      <c r="DO67" s="74" t="str">
        <f t="shared" si="113"/>
        <v xml:space="preserve"> </v>
      </c>
      <c r="DP67" s="79" t="s">
        <v>221</v>
      </c>
      <c r="DQ67" s="79" t="s">
        <v>221</v>
      </c>
      <c r="DR67" s="79" t="s">
        <v>221</v>
      </c>
      <c r="DS67" s="81">
        <v>0</v>
      </c>
      <c r="DT67" s="89"/>
      <c r="DU67" s="67"/>
      <c r="DV67" s="67"/>
      <c r="DW67" s="78"/>
      <c r="DX67" s="78"/>
      <c r="DY67" s="74" t="str">
        <f t="shared" si="114"/>
        <v xml:space="preserve"> </v>
      </c>
      <c r="DZ67" s="94"/>
      <c r="EA67" s="94"/>
      <c r="EB67" s="94"/>
      <c r="EC67" s="94"/>
      <c r="ED67" s="87"/>
      <c r="EE67" s="83"/>
      <c r="EF67" s="83"/>
      <c r="EG67" s="82"/>
      <c r="EH67" s="82"/>
      <c r="EI67" s="74" t="str">
        <f t="shared" si="105"/>
        <v xml:space="preserve"> </v>
      </c>
      <c r="EJ67" s="92"/>
      <c r="EK67" s="92"/>
      <c r="EL67" s="92"/>
      <c r="EM67" s="92"/>
      <c r="EN67" s="89"/>
      <c r="EO67" s="67"/>
      <c r="EP67" s="67"/>
      <c r="EQ67" s="78"/>
      <c r="ER67" s="78"/>
      <c r="ES67" s="74" t="str">
        <f t="shared" si="106"/>
        <v xml:space="preserve"> </v>
      </c>
      <c r="ET67" s="94"/>
      <c r="EU67" s="94"/>
      <c r="EV67" s="94">
        <v>0</v>
      </c>
      <c r="EW67" s="76">
        <v>0</v>
      </c>
      <c r="EX67" s="87"/>
      <c r="EY67" s="83"/>
      <c r="EZ67" s="83"/>
      <c r="FA67" s="82"/>
      <c r="FB67" s="82"/>
      <c r="FC67" s="74" t="str">
        <f t="shared" si="115"/>
        <v xml:space="preserve"> </v>
      </c>
      <c r="FD67" s="92"/>
      <c r="FE67" s="92"/>
      <c r="FF67" s="92"/>
      <c r="FG67" s="92"/>
      <c r="FH67" s="76">
        <f t="shared" si="116"/>
        <v>0</v>
      </c>
      <c r="FI67" s="89"/>
      <c r="FJ67" s="67"/>
      <c r="FK67" s="67"/>
      <c r="FL67" s="78"/>
      <c r="FM67" s="78"/>
      <c r="FN67" s="74" t="str">
        <f t="shared" si="117"/>
        <v xml:space="preserve"> </v>
      </c>
      <c r="FO67" s="94"/>
      <c r="FP67" s="94"/>
      <c r="FQ67" s="94"/>
      <c r="FR67" s="94"/>
      <c r="FS67" s="76">
        <f t="shared" si="118"/>
        <v>0</v>
      </c>
      <c r="FT67" s="87"/>
      <c r="FU67" s="83"/>
      <c r="FV67" s="83"/>
      <c r="FW67" s="82"/>
      <c r="FX67" s="82"/>
      <c r="FY67" s="74" t="str">
        <f t="shared" si="119"/>
        <v xml:space="preserve"> </v>
      </c>
      <c r="FZ67" s="92"/>
      <c r="GA67" s="92"/>
      <c r="GB67" s="92"/>
      <c r="GC67" s="92"/>
      <c r="GD67" s="76">
        <f t="shared" si="120"/>
        <v>0</v>
      </c>
      <c r="GE67" s="62"/>
      <c r="GF67" s="96" t="s">
        <v>221</v>
      </c>
      <c r="GG67" s="96" t="s">
        <v>221</v>
      </c>
      <c r="GH67" s="63"/>
      <c r="GI67" s="63"/>
      <c r="GJ67" s="63"/>
      <c r="GK67" s="97">
        <f t="shared" si="84"/>
        <v>0</v>
      </c>
      <c r="GL67" s="98"/>
      <c r="GM67" s="98"/>
      <c r="GN67" s="97">
        <f t="shared" si="121"/>
        <v>0</v>
      </c>
      <c r="GO67" s="97" t="str">
        <f t="shared" si="122"/>
        <v xml:space="preserve"> </v>
      </c>
      <c r="GP67" s="62"/>
      <c r="GQ67" s="63"/>
      <c r="GR67" s="63"/>
      <c r="GS67" s="63"/>
      <c r="GT67" s="63"/>
      <c r="GU67" s="63"/>
      <c r="GV67" s="63"/>
      <c r="GW67" s="63"/>
      <c r="GX67" s="63"/>
      <c r="GY67" s="65" t="str">
        <f t="shared" si="138"/>
        <v/>
      </c>
      <c r="GZ67" s="65" t="str">
        <f t="shared" si="139"/>
        <v/>
      </c>
      <c r="HA67" s="63"/>
      <c r="HB67" s="63"/>
      <c r="HC67" s="63"/>
      <c r="HD67" s="63"/>
      <c r="HE67" s="63"/>
      <c r="HF67" s="63"/>
      <c r="HG67" s="63"/>
      <c r="HH67" s="63"/>
      <c r="HI67" s="63"/>
      <c r="HJ67" s="63"/>
      <c r="HK67" s="63"/>
      <c r="HL67" s="65" t="str">
        <f t="shared" si="140"/>
        <v/>
      </c>
      <c r="HM67" s="65" t="str">
        <f t="shared" si="124"/>
        <v/>
      </c>
      <c r="HN67" s="65" t="str">
        <f t="shared" si="141"/>
        <v/>
      </c>
      <c r="HO67" s="65" t="str">
        <f t="shared" si="142"/>
        <v/>
      </c>
      <c r="HP67" s="99" t="str">
        <f t="shared" si="130"/>
        <v/>
      </c>
      <c r="HQ67" s="99" t="str">
        <f t="shared" si="143"/>
        <v/>
      </c>
      <c r="HR67" s="63"/>
      <c r="HS67" s="63"/>
      <c r="HT67" s="63"/>
      <c r="HU67" s="63"/>
      <c r="HV67" s="63"/>
      <c r="HW67" s="63"/>
      <c r="HX67" s="63"/>
      <c r="HY67" s="63"/>
      <c r="HZ67" s="63"/>
      <c r="IA67" s="63"/>
      <c r="IB67" s="63"/>
      <c r="IC67" s="63"/>
      <c r="ID67" s="63"/>
      <c r="IE67" s="100"/>
      <c r="IF67" s="100"/>
      <c r="IG67" s="100"/>
      <c r="IH67" s="100"/>
      <c r="II67" s="100"/>
      <c r="IJ67" s="100"/>
      <c r="IK67" s="100"/>
      <c r="IL67" s="63"/>
      <c r="IM67" s="62"/>
      <c r="IN67" s="101"/>
      <c r="IO67" s="101"/>
      <c r="IP67" s="63"/>
      <c r="IQ67" s="63"/>
      <c r="IR67" s="63"/>
      <c r="IS67" s="63"/>
      <c r="IT67" s="63"/>
      <c r="IU67" s="63"/>
      <c r="IV67" s="63"/>
      <c r="IW67" s="63"/>
      <c r="IX67" s="63"/>
      <c r="IY67" s="63"/>
      <c r="IZ67" s="63"/>
      <c r="JA67" s="65">
        <f t="shared" si="107"/>
        <v>0</v>
      </c>
      <c r="JB67" s="63"/>
      <c r="JC67" s="101"/>
      <c r="JD67" s="101"/>
      <c r="JE67" s="63"/>
      <c r="JF67" s="63"/>
      <c r="JG67" s="63"/>
      <c r="JH67" s="63"/>
      <c r="JI67" s="63"/>
      <c r="JJ67" s="63"/>
      <c r="JK67" s="63"/>
      <c r="JL67" s="63"/>
      <c r="JM67" s="63"/>
      <c r="JN67" s="63"/>
      <c r="JO67" s="63"/>
      <c r="JP67" s="65">
        <f t="shared" si="133"/>
        <v>0</v>
      </c>
      <c r="JQ67" s="63"/>
      <c r="LM67" s="205"/>
      <c r="LN67" s="102">
        <f>IFERROR(ROWS($IL$8:IL67)," ")</f>
        <v>60</v>
      </c>
      <c r="LO67" s="103" t="str">
        <f>IFERROR(IF([1]Checklist!$C$3='GenInfo (2)'!E67,'GenInfo (2)'!LN67," ")," ")</f>
        <v xml:space="preserve"> </v>
      </c>
      <c r="LP67" s="104" t="str">
        <f>IFERROR(SMALL($LO$8:$LO$94,ROWS($IL$8:IL67))," ")</f>
        <v xml:space="preserve"> </v>
      </c>
      <c r="LQ67" s="102">
        <f>IFERROR(ROWS($IL$8:IL67)," ")</f>
        <v>60</v>
      </c>
      <c r="LR67" s="103" t="str">
        <f>IFERROR(IF([1]Checklist!$C$4='GenInfo (2)'!E67,'GenInfo (2)'!LQ67," ")," ")</f>
        <v xml:space="preserve"> </v>
      </c>
      <c r="LS67" s="104" t="str">
        <f>IFERROR(SMALL($LR$8:$LR$94,ROWS($IL$8:IL67))," ")</f>
        <v xml:space="preserve"> </v>
      </c>
      <c r="LT67" s="102">
        <f>IFERROR(ROWS($IL$8:IL67)," ")</f>
        <v>60</v>
      </c>
      <c r="LU67" s="103" t="str">
        <f>IFERROR(IF([1]Checklist!$C$5='GenInfo (2)'!E67,'GenInfo (2)'!LT67," ")," ")</f>
        <v xml:space="preserve"> </v>
      </c>
      <c r="LV67" s="104" t="str">
        <f>IFERROR(SMALL($LU$8:$LU$94,ROWS($IL$8:IL67))," ")</f>
        <v xml:space="preserve"> </v>
      </c>
      <c r="LW67" s="102">
        <f>IFERROR(ROWS($IL$8:IL67)," ")</f>
        <v>60</v>
      </c>
      <c r="LX67" s="103" t="str">
        <f>IFERROR(IF([1]Checklist!$C$6='GenInfo (2)'!E67,'GenInfo (2)'!LW67," ")," ")</f>
        <v xml:space="preserve"> </v>
      </c>
      <c r="LY67" s="104" t="str">
        <f>IFERROR(SMALL($LX$8:$LX$94,ROWS($IL$8:IL67))," ")</f>
        <v xml:space="preserve"> </v>
      </c>
      <c r="LZ67" s="102">
        <f>IFERROR(ROWS($IL$8:IL67)," ")</f>
        <v>60</v>
      </c>
      <c r="MA67" s="103" t="str">
        <f>IFERROR(IF([1]Checklist!$C$7='GenInfo (2)'!E67,'GenInfo (2)'!LZ67," ")," ")</f>
        <v xml:space="preserve"> </v>
      </c>
      <c r="MB67" s="104" t="str">
        <f>IFERROR(SMALL($MA$8:$MA$94,ROWS($IL$8:IL67))," ")</f>
        <v xml:space="preserve"> </v>
      </c>
      <c r="MC67" s="102">
        <f>IFERROR(ROWS($IL$8:IL67)," ")</f>
        <v>60</v>
      </c>
      <c r="MD67" s="103" t="str">
        <f>IFERROR(IF([1]Checklist!$C$8='GenInfo (2)'!E67,'GenInfo (2)'!MC67," ")," ")</f>
        <v xml:space="preserve"> </v>
      </c>
      <c r="ME67" s="104" t="str">
        <f>IFERROR(SMALL($MD$8:$MD$94,ROWS($IL$8:IL67))," ")</f>
        <v xml:space="preserve"> </v>
      </c>
      <c r="MF67" s="102">
        <f>IFERROR(ROWS($IL$8:IL67)," ")</f>
        <v>60</v>
      </c>
      <c r="MG67" s="103" t="str">
        <f>IFERROR(IF([1]Checklist!$C$9='GenInfo (2)'!E67,'GenInfo (2)'!MF67," ")," ")</f>
        <v xml:space="preserve"> </v>
      </c>
      <c r="MH67" s="104" t="str">
        <f>IFERROR(SMALL($MG$8:$MG$94,ROWS($IL$8:IL67))," ")</f>
        <v xml:space="preserve"> </v>
      </c>
      <c r="MI67" s="102">
        <f>IFERROR(ROWS($IL$8:$IL67)," ")</f>
        <v>60</v>
      </c>
      <c r="MJ67" s="103" t="str">
        <f>IFERROR(IF([1]Checklist!$C$10='GenInfo (2)'!E67,'GenInfo (2)'!MI67," ")," ")</f>
        <v xml:space="preserve"> </v>
      </c>
      <c r="MK67" s="104" t="str">
        <f>IFERROR(SMALL($MJ$8:$MJ$94,ROWS($IL$8:IL67))," ")</f>
        <v xml:space="preserve"> </v>
      </c>
      <c r="ML67" s="102">
        <f>IFERROR(ROWS($IL$8:IL67)," ")</f>
        <v>60</v>
      </c>
      <c r="MM67" s="103" t="str">
        <f>IFERROR(IF([1]Checklist!$C$11='GenInfo (2)'!E67,'GenInfo (2)'!ML67," ")," ")</f>
        <v xml:space="preserve"> </v>
      </c>
      <c r="MN67" s="104" t="str">
        <f>IFERROR(SMALL($MM$8:$MM$94,ROWS($IL$8:IL67))," ")</f>
        <v xml:space="preserve"> </v>
      </c>
      <c r="MO67" s="102">
        <f>IFERROR(ROWS($IL$8:IL67)," ")</f>
        <v>60</v>
      </c>
      <c r="MP67" s="103" t="str">
        <f>IFERROR(IF([1]Checklist!$C$12='GenInfo (2)'!E67,'GenInfo (2)'!MO67," ")," ")</f>
        <v xml:space="preserve"> </v>
      </c>
      <c r="MQ67" s="104" t="str">
        <f>IFERROR(SMALL($MP$8:$MP$94,ROWS($IL$8:IL67))," ")</f>
        <v xml:space="preserve"> </v>
      </c>
      <c r="MR67" s="102">
        <f>IFERROR(ROWS($IL$8:IL67)," ")</f>
        <v>60</v>
      </c>
      <c r="MS67" s="103" t="str">
        <f>IFERROR(IF([1]Checklist!$C$13='GenInfo (2)'!E67,'GenInfo (2)'!MR67," ")," ")</f>
        <v xml:space="preserve"> </v>
      </c>
      <c r="MT67" s="104" t="str">
        <f>IFERROR(SMALL($MS$8:$MS$94,ROWS($IL$8:IL67))," ")</f>
        <v xml:space="preserve"> </v>
      </c>
      <c r="MU67" s="102">
        <f>IFERROR(ROWS($IL$8:IL67)," ")</f>
        <v>60</v>
      </c>
      <c r="MV67" s="103" t="str">
        <f>IFERROR(IF([1]Checklist!$C$14='GenInfo (2)'!E67,'GenInfo (2)'!MU67," ")," ")</f>
        <v xml:space="preserve"> </v>
      </c>
      <c r="MW67" s="104" t="str">
        <f>IFERROR(SMALL($MV$8:$MV$94,ROWS($IL$8:IL67))," ")</f>
        <v xml:space="preserve"> </v>
      </c>
      <c r="MX67" s="102">
        <f>IFERROR(ROWS($IL$8:IL67)," ")</f>
        <v>60</v>
      </c>
      <c r="MY67" s="103" t="str">
        <f>IFERROR(IF([1]Checklist!$C$15='GenInfo (2)'!E67,'GenInfo (2)'!MX67," ")," ")</f>
        <v xml:space="preserve"> </v>
      </c>
      <c r="MZ67" s="104" t="str">
        <f>IFERROR(SMALL($MY$8:$MY$94,ROWS($IL$8:IL67))," ")</f>
        <v xml:space="preserve"> </v>
      </c>
      <c r="NA67" s="102">
        <f>IFERROR(ROWS($IL$8:IL67)," ")</f>
        <v>60</v>
      </c>
      <c r="NB67" s="103" t="str">
        <f>IFERROR(IF([1]Checklist!$C$16='GenInfo (2)'!E67,'GenInfo (2)'!NA67," ")," ")</f>
        <v xml:space="preserve"> </v>
      </c>
      <c r="NC67" s="104" t="str">
        <f>IFERROR(SMALL($NB$8:$NB$94,ROWS($IL$8:IL67))," ")</f>
        <v xml:space="preserve"> </v>
      </c>
      <c r="ND67" s="102">
        <f>IFERROR(ROWS($IL$8:IL67)," ")</f>
        <v>60</v>
      </c>
      <c r="NE67" s="103" t="str">
        <f>IFERROR(IF([1]Checklist!$C$17='GenInfo (2)'!E67,'GenInfo (2)'!ND67," ")," ")</f>
        <v xml:space="preserve"> </v>
      </c>
      <c r="NF67" s="104" t="str">
        <f>IFERROR(SMALL($NE$8:$NE$94,ROWS($IL$8:IL67))," ")</f>
        <v xml:space="preserve"> </v>
      </c>
    </row>
    <row r="68" spans="5:370" ht="14.25" x14ac:dyDescent="0.45">
      <c r="E68" s="64"/>
      <c r="F68" s="63"/>
      <c r="G68" s="64"/>
      <c r="H68" s="63"/>
      <c r="I68" s="63"/>
      <c r="J68" s="63"/>
      <c r="K68" s="62"/>
      <c r="L68" s="67"/>
      <c r="M68" s="67"/>
      <c r="N68" s="67"/>
      <c r="O68" s="68"/>
      <c r="P68" s="67"/>
      <c r="Q68" s="67"/>
      <c r="R68" s="63"/>
      <c r="S68" s="67"/>
      <c r="T68" s="63"/>
      <c r="U68" s="62"/>
      <c r="V68" s="63"/>
      <c r="W68" s="63"/>
      <c r="X68" s="69"/>
      <c r="Y68" s="63"/>
      <c r="Z68" s="69"/>
      <c r="AA68" s="62"/>
      <c r="AB68" s="63"/>
      <c r="AC68" s="63"/>
      <c r="AD68" s="63"/>
      <c r="AE68" s="63"/>
      <c r="AF68" s="63"/>
      <c r="AG68" s="63"/>
      <c r="AH68" s="63"/>
      <c r="AI68" s="63"/>
      <c r="AJ68" s="63"/>
      <c r="AK68" s="62"/>
      <c r="AL68" s="71">
        <f t="shared" si="95"/>
        <v>0</v>
      </c>
      <c r="AM68" s="71">
        <f t="shared" ca="1" si="137"/>
        <v>122</v>
      </c>
      <c r="AN68" s="63"/>
      <c r="AO68" s="72" t="str">
        <f t="shared" ca="1" si="97"/>
        <v/>
      </c>
      <c r="AP68" s="63"/>
      <c r="AQ68" s="73"/>
      <c r="AR68" s="70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2"/>
      <c r="BE68" s="71">
        <f t="shared" si="144"/>
        <v>0</v>
      </c>
      <c r="BF68" s="71">
        <f t="shared" si="144"/>
        <v>0</v>
      </c>
      <c r="BG68" s="71">
        <f t="shared" si="99"/>
        <v>0</v>
      </c>
      <c r="BH68" s="74" t="str">
        <f t="shared" si="100"/>
        <v xml:space="preserve"> </v>
      </c>
      <c r="BI68" s="75" t="str">
        <f t="shared" si="101"/>
        <v xml:space="preserve"> </v>
      </c>
      <c r="BJ68" s="71">
        <f t="shared" si="102"/>
        <v>0</v>
      </c>
      <c r="BK68" s="75" t="str">
        <f t="shared" si="103"/>
        <v xml:space="preserve"> </v>
      </c>
      <c r="BL68" s="76">
        <f t="shared" si="145"/>
        <v>0</v>
      </c>
      <c r="BM68" s="77">
        <f t="shared" si="145"/>
        <v>0</v>
      </c>
      <c r="BN68" s="78"/>
      <c r="BO68" s="67"/>
      <c r="BP68" s="67"/>
      <c r="BQ68" s="63"/>
      <c r="BR68" s="63"/>
      <c r="BS68" s="74" t="str">
        <f t="shared" si="108"/>
        <v xml:space="preserve"> </v>
      </c>
      <c r="BT68" s="79" t="s">
        <v>221</v>
      </c>
      <c r="BU68" s="79" t="s">
        <v>221</v>
      </c>
      <c r="BV68" s="80">
        <v>0</v>
      </c>
      <c r="BW68" s="81">
        <v>0</v>
      </c>
      <c r="BX68" s="82"/>
      <c r="BY68" s="83"/>
      <c r="BZ68" s="83"/>
      <c r="CA68" s="84"/>
      <c r="CB68" s="84"/>
      <c r="CC68" s="74" t="str">
        <f t="shared" si="109"/>
        <v xml:space="preserve"> </v>
      </c>
      <c r="CD68" s="79" t="s">
        <v>221</v>
      </c>
      <c r="CE68" s="81">
        <v>0</v>
      </c>
      <c r="CF68" s="85"/>
      <c r="CG68" s="85"/>
      <c r="CH68" s="85"/>
      <c r="CI68" s="78"/>
      <c r="CJ68" s="78"/>
      <c r="CK68" s="74" t="str">
        <f t="shared" si="110"/>
        <v xml:space="preserve"> </v>
      </c>
      <c r="CL68" s="79" t="s">
        <v>221</v>
      </c>
      <c r="CM68" s="79" t="s">
        <v>221</v>
      </c>
      <c r="CN68" s="86" t="s">
        <v>221</v>
      </c>
      <c r="CO68" s="81">
        <v>0</v>
      </c>
      <c r="CP68" s="87"/>
      <c r="CQ68" s="83"/>
      <c r="CR68" s="83"/>
      <c r="CS68" s="82"/>
      <c r="CT68" s="82"/>
      <c r="CU68" s="74" t="str">
        <f t="shared" si="111"/>
        <v xml:space="preserve"> </v>
      </c>
      <c r="CV68" s="79" t="s">
        <v>221</v>
      </c>
      <c r="CW68" s="79" t="s">
        <v>221</v>
      </c>
      <c r="CX68" s="88" t="s">
        <v>221</v>
      </c>
      <c r="CY68" s="81">
        <v>0</v>
      </c>
      <c r="CZ68" s="89"/>
      <c r="DA68" s="67"/>
      <c r="DB68" s="67"/>
      <c r="DC68" s="78"/>
      <c r="DD68" s="78"/>
      <c r="DE68" s="74" t="str">
        <f t="shared" si="112"/>
        <v xml:space="preserve"> </v>
      </c>
      <c r="DF68" s="79" t="s">
        <v>221</v>
      </c>
      <c r="DG68" s="79" t="s">
        <v>221</v>
      </c>
      <c r="DH68" s="79" t="s">
        <v>221</v>
      </c>
      <c r="DI68" s="81">
        <v>0</v>
      </c>
      <c r="DJ68" s="87"/>
      <c r="DK68" s="83"/>
      <c r="DL68" s="83"/>
      <c r="DM68" s="82"/>
      <c r="DN68" s="82"/>
      <c r="DO68" s="74" t="str">
        <f t="shared" si="113"/>
        <v xml:space="preserve"> </v>
      </c>
      <c r="DP68" s="79" t="s">
        <v>221</v>
      </c>
      <c r="DQ68" s="79" t="s">
        <v>221</v>
      </c>
      <c r="DR68" s="79" t="s">
        <v>221</v>
      </c>
      <c r="DS68" s="81">
        <v>0</v>
      </c>
      <c r="DT68" s="89"/>
      <c r="DU68" s="67"/>
      <c r="DV68" s="67"/>
      <c r="DW68" s="78"/>
      <c r="DX68" s="78"/>
      <c r="DY68" s="74" t="str">
        <f t="shared" si="114"/>
        <v xml:space="preserve"> </v>
      </c>
      <c r="DZ68" s="94"/>
      <c r="EA68" s="94"/>
      <c r="EB68" s="94"/>
      <c r="EC68" s="94"/>
      <c r="ED68" s="87"/>
      <c r="EE68" s="83"/>
      <c r="EF68" s="83"/>
      <c r="EG68" s="82"/>
      <c r="EH68" s="82"/>
      <c r="EI68" s="74" t="str">
        <f t="shared" si="105"/>
        <v xml:space="preserve"> </v>
      </c>
      <c r="EJ68" s="92"/>
      <c r="EK68" s="92"/>
      <c r="EL68" s="92"/>
      <c r="EM68" s="92"/>
      <c r="EN68" s="89"/>
      <c r="EO68" s="67"/>
      <c r="EP68" s="67"/>
      <c r="EQ68" s="78"/>
      <c r="ER68" s="78"/>
      <c r="ES68" s="74" t="str">
        <f t="shared" si="106"/>
        <v xml:space="preserve"> </v>
      </c>
      <c r="ET68" s="94"/>
      <c r="EU68" s="94"/>
      <c r="EV68" s="94">
        <v>0</v>
      </c>
      <c r="EW68" s="76">
        <v>0</v>
      </c>
      <c r="EX68" s="87"/>
      <c r="EY68" s="83"/>
      <c r="EZ68" s="83"/>
      <c r="FA68" s="82"/>
      <c r="FB68" s="82"/>
      <c r="FC68" s="74" t="str">
        <f t="shared" si="115"/>
        <v xml:space="preserve"> </v>
      </c>
      <c r="FD68" s="92"/>
      <c r="FE68" s="92"/>
      <c r="FF68" s="92"/>
      <c r="FG68" s="92"/>
      <c r="FH68" s="76">
        <f t="shared" si="116"/>
        <v>0</v>
      </c>
      <c r="FI68" s="89"/>
      <c r="FJ68" s="67"/>
      <c r="FK68" s="67"/>
      <c r="FL68" s="78"/>
      <c r="FM68" s="78"/>
      <c r="FN68" s="74" t="str">
        <f t="shared" si="117"/>
        <v xml:space="preserve"> </v>
      </c>
      <c r="FO68" s="94"/>
      <c r="FP68" s="94"/>
      <c r="FQ68" s="94"/>
      <c r="FR68" s="94"/>
      <c r="FS68" s="76">
        <f t="shared" si="118"/>
        <v>0</v>
      </c>
      <c r="FT68" s="87"/>
      <c r="FU68" s="83"/>
      <c r="FV68" s="83"/>
      <c r="FW68" s="82"/>
      <c r="FX68" s="82"/>
      <c r="FY68" s="74" t="str">
        <f t="shared" si="119"/>
        <v xml:space="preserve"> </v>
      </c>
      <c r="FZ68" s="92"/>
      <c r="GA68" s="92"/>
      <c r="GB68" s="92"/>
      <c r="GC68" s="92"/>
      <c r="GD68" s="76">
        <f t="shared" si="120"/>
        <v>0</v>
      </c>
      <c r="GE68" s="62"/>
      <c r="GF68" s="96" t="s">
        <v>221</v>
      </c>
      <c r="GG68" s="96" t="s">
        <v>221</v>
      </c>
      <c r="GH68" s="63"/>
      <c r="GI68" s="63"/>
      <c r="GJ68" s="63"/>
      <c r="GK68" s="97">
        <f t="shared" si="84"/>
        <v>0</v>
      </c>
      <c r="GL68" s="98"/>
      <c r="GM68" s="98"/>
      <c r="GN68" s="97">
        <f t="shared" si="121"/>
        <v>0</v>
      </c>
      <c r="GO68" s="97" t="str">
        <f t="shared" si="122"/>
        <v xml:space="preserve"> </v>
      </c>
      <c r="GP68" s="62"/>
      <c r="GQ68" s="63"/>
      <c r="GR68" s="63"/>
      <c r="GS68" s="63"/>
      <c r="GT68" s="63"/>
      <c r="GU68" s="63"/>
      <c r="GV68" s="63"/>
      <c r="GW68" s="63"/>
      <c r="GX68" s="63"/>
      <c r="GY68" s="65" t="str">
        <f t="shared" si="138"/>
        <v/>
      </c>
      <c r="GZ68" s="65" t="str">
        <f t="shared" si="139"/>
        <v/>
      </c>
      <c r="HA68" s="63"/>
      <c r="HB68" s="63"/>
      <c r="HC68" s="63"/>
      <c r="HD68" s="63"/>
      <c r="HE68" s="63"/>
      <c r="HF68" s="63"/>
      <c r="HG68" s="63"/>
      <c r="HH68" s="63"/>
      <c r="HI68" s="63"/>
      <c r="HJ68" s="63"/>
      <c r="HK68" s="63"/>
      <c r="HL68" s="65" t="str">
        <f t="shared" si="140"/>
        <v/>
      </c>
      <c r="HM68" s="65" t="str">
        <f t="shared" si="124"/>
        <v/>
      </c>
      <c r="HN68" s="65" t="str">
        <f t="shared" si="141"/>
        <v/>
      </c>
      <c r="HO68" s="65" t="str">
        <f t="shared" si="142"/>
        <v/>
      </c>
      <c r="HP68" s="99" t="str">
        <f t="shared" si="130"/>
        <v/>
      </c>
      <c r="HQ68" s="99" t="str">
        <f t="shared" si="143"/>
        <v/>
      </c>
      <c r="HR68" s="63"/>
      <c r="HS68" s="63"/>
      <c r="HT68" s="63"/>
      <c r="HU68" s="63"/>
      <c r="HV68" s="63"/>
      <c r="HW68" s="63"/>
      <c r="HX68" s="63"/>
      <c r="HY68" s="63"/>
      <c r="HZ68" s="63"/>
      <c r="IA68" s="63"/>
      <c r="IB68" s="63"/>
      <c r="IC68" s="63"/>
      <c r="ID68" s="63"/>
      <c r="IE68" s="100"/>
      <c r="IF68" s="100"/>
      <c r="IG68" s="100"/>
      <c r="IH68" s="100"/>
      <c r="II68" s="100"/>
      <c r="IJ68" s="100"/>
      <c r="IK68" s="100"/>
      <c r="IL68" s="63"/>
      <c r="IM68" s="62"/>
      <c r="IN68" s="101"/>
      <c r="IO68" s="101"/>
      <c r="IP68" s="63"/>
      <c r="IQ68" s="63"/>
      <c r="IR68" s="63"/>
      <c r="IS68" s="63"/>
      <c r="IT68" s="63"/>
      <c r="IU68" s="63"/>
      <c r="IV68" s="63"/>
      <c r="IW68" s="63"/>
      <c r="IX68" s="63"/>
      <c r="IY68" s="63"/>
      <c r="IZ68" s="63"/>
      <c r="JA68" s="65">
        <f t="shared" si="107"/>
        <v>0</v>
      </c>
      <c r="JB68" s="63"/>
      <c r="JC68" s="101"/>
      <c r="JD68" s="101"/>
      <c r="JE68" s="63"/>
      <c r="JF68" s="63"/>
      <c r="JG68" s="63"/>
      <c r="JH68" s="63"/>
      <c r="JI68" s="63"/>
      <c r="JJ68" s="63"/>
      <c r="JK68" s="63"/>
      <c r="JL68" s="63"/>
      <c r="JM68" s="63"/>
      <c r="JN68" s="63"/>
      <c r="JO68" s="63"/>
      <c r="JP68" s="65">
        <f t="shared" si="133"/>
        <v>0</v>
      </c>
      <c r="JQ68" s="63"/>
      <c r="LM68" s="205"/>
      <c r="LN68" s="102">
        <f>IFERROR(ROWS($IL$8:IL68)," ")</f>
        <v>61</v>
      </c>
      <c r="LO68" s="103" t="str">
        <f>IFERROR(IF([1]Checklist!$C$3='GenInfo (2)'!E68,'GenInfo (2)'!LN68," ")," ")</f>
        <v xml:space="preserve"> </v>
      </c>
      <c r="LP68" s="104" t="str">
        <f>IFERROR(SMALL($LO$8:$LO$94,ROWS($IL$8:IL68))," ")</f>
        <v xml:space="preserve"> </v>
      </c>
      <c r="LQ68" s="102">
        <f>IFERROR(ROWS($IL$8:IL68)," ")</f>
        <v>61</v>
      </c>
      <c r="LR68" s="103" t="str">
        <f>IFERROR(IF([1]Checklist!$C$4='GenInfo (2)'!E68,'GenInfo (2)'!LQ68," ")," ")</f>
        <v xml:space="preserve"> </v>
      </c>
      <c r="LS68" s="104" t="str">
        <f>IFERROR(SMALL($LR$8:$LR$94,ROWS($IL$8:IL68))," ")</f>
        <v xml:space="preserve"> </v>
      </c>
      <c r="LT68" s="102">
        <f>IFERROR(ROWS($IL$8:IL68)," ")</f>
        <v>61</v>
      </c>
      <c r="LU68" s="103" t="str">
        <f>IFERROR(IF([1]Checklist!$C$5='GenInfo (2)'!E68,'GenInfo (2)'!LT68," ")," ")</f>
        <v xml:space="preserve"> </v>
      </c>
      <c r="LV68" s="104" t="str">
        <f>IFERROR(SMALL($LU$8:$LU$94,ROWS($IL$8:IL68))," ")</f>
        <v xml:space="preserve"> </v>
      </c>
      <c r="LW68" s="102">
        <f>IFERROR(ROWS($IL$8:IL68)," ")</f>
        <v>61</v>
      </c>
      <c r="LX68" s="103" t="str">
        <f>IFERROR(IF([1]Checklist!$C$6='GenInfo (2)'!E68,'GenInfo (2)'!LW68," ")," ")</f>
        <v xml:space="preserve"> </v>
      </c>
      <c r="LY68" s="104" t="str">
        <f>IFERROR(SMALL($LX$8:$LX$94,ROWS($IL$8:IL68))," ")</f>
        <v xml:space="preserve"> </v>
      </c>
      <c r="LZ68" s="102">
        <f>IFERROR(ROWS($IL$8:IL68)," ")</f>
        <v>61</v>
      </c>
      <c r="MA68" s="103" t="str">
        <f>IFERROR(IF([1]Checklist!$C$7='GenInfo (2)'!E68,'GenInfo (2)'!LZ68," ")," ")</f>
        <v xml:space="preserve"> </v>
      </c>
      <c r="MB68" s="104" t="str">
        <f>IFERROR(SMALL($MA$8:$MA$94,ROWS($IL$8:IL68))," ")</f>
        <v xml:space="preserve"> </v>
      </c>
      <c r="MC68" s="102">
        <f>IFERROR(ROWS($IL$8:IL68)," ")</f>
        <v>61</v>
      </c>
      <c r="MD68" s="103" t="str">
        <f>IFERROR(IF([1]Checklist!$C$8='GenInfo (2)'!E68,'GenInfo (2)'!MC68," ")," ")</f>
        <v xml:space="preserve"> </v>
      </c>
      <c r="ME68" s="104" t="str">
        <f>IFERROR(SMALL($MD$8:$MD$94,ROWS($IL$8:IL68))," ")</f>
        <v xml:space="preserve"> </v>
      </c>
      <c r="MF68" s="102">
        <f>IFERROR(ROWS($IL$8:IL68)," ")</f>
        <v>61</v>
      </c>
      <c r="MG68" s="103" t="str">
        <f>IFERROR(IF([1]Checklist!$C$9='GenInfo (2)'!E68,'GenInfo (2)'!MF68," ")," ")</f>
        <v xml:space="preserve"> </v>
      </c>
      <c r="MH68" s="104" t="str">
        <f>IFERROR(SMALL($MG$8:$MG$94,ROWS($IL$8:IL68))," ")</f>
        <v xml:space="preserve"> </v>
      </c>
      <c r="MI68" s="102">
        <f>IFERROR(ROWS($IL$8:$IL68)," ")</f>
        <v>61</v>
      </c>
      <c r="MJ68" s="103" t="str">
        <f>IFERROR(IF([1]Checklist!$C$10='GenInfo (2)'!E68,'GenInfo (2)'!MI68," ")," ")</f>
        <v xml:space="preserve"> </v>
      </c>
      <c r="MK68" s="104" t="str">
        <f>IFERROR(SMALL($MJ$8:$MJ$94,ROWS($IL$8:IL68))," ")</f>
        <v xml:space="preserve"> </v>
      </c>
      <c r="ML68" s="102">
        <f>IFERROR(ROWS($IL$8:IL68)," ")</f>
        <v>61</v>
      </c>
      <c r="MM68" s="103" t="str">
        <f>IFERROR(IF([1]Checklist!$C$11='GenInfo (2)'!E68,'GenInfo (2)'!ML68," ")," ")</f>
        <v xml:space="preserve"> </v>
      </c>
      <c r="MN68" s="104" t="str">
        <f>IFERROR(SMALL($MM$8:$MM$94,ROWS($IL$8:IL68))," ")</f>
        <v xml:space="preserve"> </v>
      </c>
      <c r="MO68" s="102">
        <f>IFERROR(ROWS($IL$8:IL68)," ")</f>
        <v>61</v>
      </c>
      <c r="MP68" s="103" t="str">
        <f>IFERROR(IF([1]Checklist!$C$12='GenInfo (2)'!E68,'GenInfo (2)'!MO68," ")," ")</f>
        <v xml:space="preserve"> </v>
      </c>
      <c r="MQ68" s="104" t="str">
        <f>IFERROR(SMALL($MP$8:$MP$94,ROWS($IL$8:IL68))," ")</f>
        <v xml:space="preserve"> </v>
      </c>
      <c r="MR68" s="102">
        <f>IFERROR(ROWS($IL$8:IL68)," ")</f>
        <v>61</v>
      </c>
      <c r="MS68" s="103" t="str">
        <f>IFERROR(IF([1]Checklist!$C$13='GenInfo (2)'!E68,'GenInfo (2)'!MR68," ")," ")</f>
        <v xml:space="preserve"> </v>
      </c>
      <c r="MT68" s="104" t="str">
        <f>IFERROR(SMALL($MS$8:$MS$94,ROWS($IL$8:IL68))," ")</f>
        <v xml:space="preserve"> </v>
      </c>
      <c r="MU68" s="102">
        <f>IFERROR(ROWS($IL$8:IL68)," ")</f>
        <v>61</v>
      </c>
      <c r="MV68" s="103" t="str">
        <f>IFERROR(IF([1]Checklist!$C$14='GenInfo (2)'!E68,'GenInfo (2)'!MU68," ")," ")</f>
        <v xml:space="preserve"> </v>
      </c>
      <c r="MW68" s="104" t="str">
        <f>IFERROR(SMALL($MV$8:$MV$94,ROWS($IL$8:IL68))," ")</f>
        <v xml:space="preserve"> </v>
      </c>
      <c r="MX68" s="102">
        <f>IFERROR(ROWS($IL$8:IL68)," ")</f>
        <v>61</v>
      </c>
      <c r="MY68" s="103" t="str">
        <f>IFERROR(IF([1]Checklist!$C$15='GenInfo (2)'!E68,'GenInfo (2)'!MX68," ")," ")</f>
        <v xml:space="preserve"> </v>
      </c>
      <c r="MZ68" s="104" t="str">
        <f>IFERROR(SMALL($MY$8:$MY$94,ROWS($IL$8:IL68))," ")</f>
        <v xml:space="preserve"> </v>
      </c>
      <c r="NA68" s="102">
        <f>IFERROR(ROWS($IL$8:IL68)," ")</f>
        <v>61</v>
      </c>
      <c r="NB68" s="103" t="str">
        <f>IFERROR(IF([1]Checklist!$C$16='GenInfo (2)'!E68,'GenInfo (2)'!NA68," ")," ")</f>
        <v xml:space="preserve"> </v>
      </c>
      <c r="NC68" s="104" t="str">
        <f>IFERROR(SMALL($NB$8:$NB$94,ROWS($IL$8:IL68))," ")</f>
        <v xml:space="preserve"> </v>
      </c>
      <c r="ND68" s="102">
        <f>IFERROR(ROWS($IL$8:IL68)," ")</f>
        <v>61</v>
      </c>
      <c r="NE68" s="103" t="str">
        <f>IFERROR(IF([1]Checklist!$C$17='GenInfo (2)'!E68,'GenInfo (2)'!ND68," ")," ")</f>
        <v xml:space="preserve"> </v>
      </c>
      <c r="NF68" s="104" t="str">
        <f>IFERROR(SMALL($NE$8:$NE$94,ROWS($IL$8:IL68))," ")</f>
        <v xml:space="preserve"> </v>
      </c>
    </row>
    <row r="69" spans="5:370" ht="14.25" x14ac:dyDescent="0.45">
      <c r="E69" s="64"/>
      <c r="F69" s="63"/>
      <c r="G69" s="64"/>
      <c r="H69" s="63"/>
      <c r="I69" s="63"/>
      <c r="J69" s="63"/>
      <c r="K69" s="62"/>
      <c r="L69" s="67"/>
      <c r="M69" s="67"/>
      <c r="N69" s="67"/>
      <c r="O69" s="68"/>
      <c r="P69" s="67"/>
      <c r="Q69" s="67"/>
      <c r="R69" s="63"/>
      <c r="S69" s="67"/>
      <c r="T69" s="63"/>
      <c r="U69" s="62"/>
      <c r="V69" s="63"/>
      <c r="W69" s="63"/>
      <c r="X69" s="69"/>
      <c r="Y69" s="63"/>
      <c r="Z69" s="69"/>
      <c r="AA69" s="62"/>
      <c r="AB69" s="63"/>
      <c r="AC69" s="63"/>
      <c r="AD69" s="63"/>
      <c r="AE69" s="63"/>
      <c r="AF69" s="63"/>
      <c r="AG69" s="63"/>
      <c r="AH69" s="63"/>
      <c r="AI69" s="63"/>
      <c r="AJ69" s="63"/>
      <c r="AK69" s="62"/>
      <c r="AL69" s="71">
        <f t="shared" si="95"/>
        <v>0</v>
      </c>
      <c r="AM69" s="71">
        <f t="shared" ca="1" si="137"/>
        <v>122</v>
      </c>
      <c r="AN69" s="63"/>
      <c r="AO69" s="72" t="str">
        <f t="shared" ca="1" si="97"/>
        <v/>
      </c>
      <c r="AP69" s="63"/>
      <c r="AQ69" s="73"/>
      <c r="AR69" s="70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2"/>
      <c r="BE69" s="71">
        <f t="shared" si="144"/>
        <v>0</v>
      </c>
      <c r="BF69" s="71">
        <f t="shared" si="144"/>
        <v>0</v>
      </c>
      <c r="BG69" s="71">
        <f t="shared" si="99"/>
        <v>0</v>
      </c>
      <c r="BH69" s="74" t="str">
        <f t="shared" si="100"/>
        <v xml:space="preserve"> </v>
      </c>
      <c r="BI69" s="75" t="str">
        <f t="shared" si="101"/>
        <v xml:space="preserve"> </v>
      </c>
      <c r="BJ69" s="71">
        <f t="shared" si="102"/>
        <v>0</v>
      </c>
      <c r="BK69" s="75" t="str">
        <f t="shared" si="103"/>
        <v xml:space="preserve"> </v>
      </c>
      <c r="BL69" s="76">
        <f t="shared" si="145"/>
        <v>0</v>
      </c>
      <c r="BM69" s="77">
        <f t="shared" si="145"/>
        <v>0</v>
      </c>
      <c r="BN69" s="78"/>
      <c r="BO69" s="67"/>
      <c r="BP69" s="67"/>
      <c r="BQ69" s="63"/>
      <c r="BR69" s="63"/>
      <c r="BS69" s="74" t="str">
        <f t="shared" si="108"/>
        <v xml:space="preserve"> </v>
      </c>
      <c r="BT69" s="79" t="s">
        <v>221</v>
      </c>
      <c r="BU69" s="79" t="s">
        <v>221</v>
      </c>
      <c r="BV69" s="80">
        <v>0</v>
      </c>
      <c r="BW69" s="81">
        <v>0</v>
      </c>
      <c r="BX69" s="82"/>
      <c r="BY69" s="83"/>
      <c r="BZ69" s="83"/>
      <c r="CA69" s="84"/>
      <c r="CB69" s="84"/>
      <c r="CC69" s="74" t="str">
        <f t="shared" si="109"/>
        <v xml:space="preserve"> </v>
      </c>
      <c r="CD69" s="79" t="s">
        <v>221</v>
      </c>
      <c r="CE69" s="81">
        <v>0</v>
      </c>
      <c r="CF69" s="85"/>
      <c r="CG69" s="85"/>
      <c r="CH69" s="85"/>
      <c r="CI69" s="78"/>
      <c r="CJ69" s="78"/>
      <c r="CK69" s="74" t="str">
        <f t="shared" si="110"/>
        <v xml:space="preserve"> </v>
      </c>
      <c r="CL69" s="79" t="s">
        <v>221</v>
      </c>
      <c r="CM69" s="79" t="s">
        <v>221</v>
      </c>
      <c r="CN69" s="86" t="s">
        <v>221</v>
      </c>
      <c r="CO69" s="81">
        <v>0</v>
      </c>
      <c r="CP69" s="87"/>
      <c r="CQ69" s="83"/>
      <c r="CR69" s="83"/>
      <c r="CS69" s="82"/>
      <c r="CT69" s="82"/>
      <c r="CU69" s="74" t="str">
        <f t="shared" si="111"/>
        <v xml:space="preserve"> </v>
      </c>
      <c r="CV69" s="79" t="s">
        <v>221</v>
      </c>
      <c r="CW69" s="79" t="s">
        <v>221</v>
      </c>
      <c r="CX69" s="88" t="s">
        <v>221</v>
      </c>
      <c r="CY69" s="81">
        <v>0</v>
      </c>
      <c r="CZ69" s="89"/>
      <c r="DA69" s="67"/>
      <c r="DB69" s="67"/>
      <c r="DC69" s="78"/>
      <c r="DD69" s="78"/>
      <c r="DE69" s="74" t="str">
        <f t="shared" si="112"/>
        <v xml:space="preserve"> </v>
      </c>
      <c r="DF69" s="79" t="s">
        <v>221</v>
      </c>
      <c r="DG69" s="79" t="s">
        <v>221</v>
      </c>
      <c r="DH69" s="79" t="s">
        <v>221</v>
      </c>
      <c r="DI69" s="81">
        <v>0</v>
      </c>
      <c r="DJ69" s="87"/>
      <c r="DK69" s="83"/>
      <c r="DL69" s="83"/>
      <c r="DM69" s="82"/>
      <c r="DN69" s="82"/>
      <c r="DO69" s="74" t="str">
        <f t="shared" si="113"/>
        <v xml:space="preserve"> </v>
      </c>
      <c r="DP69" s="79" t="s">
        <v>221</v>
      </c>
      <c r="DQ69" s="79" t="s">
        <v>221</v>
      </c>
      <c r="DR69" s="79" t="s">
        <v>221</v>
      </c>
      <c r="DS69" s="81">
        <v>0</v>
      </c>
      <c r="DT69" s="89"/>
      <c r="DU69" s="67"/>
      <c r="DV69" s="67"/>
      <c r="DW69" s="78"/>
      <c r="DX69" s="78"/>
      <c r="DY69" s="74" t="str">
        <f t="shared" si="114"/>
        <v xml:space="preserve"> </v>
      </c>
      <c r="DZ69" s="94"/>
      <c r="EA69" s="94"/>
      <c r="EB69" s="94"/>
      <c r="EC69" s="94"/>
      <c r="ED69" s="87"/>
      <c r="EE69" s="83"/>
      <c r="EF69" s="83"/>
      <c r="EG69" s="82"/>
      <c r="EH69" s="82"/>
      <c r="EI69" s="74" t="str">
        <f t="shared" si="105"/>
        <v xml:space="preserve"> </v>
      </c>
      <c r="EJ69" s="92"/>
      <c r="EK69" s="92"/>
      <c r="EL69" s="92"/>
      <c r="EM69" s="92"/>
      <c r="EN69" s="89"/>
      <c r="EO69" s="67"/>
      <c r="EP69" s="67"/>
      <c r="EQ69" s="78"/>
      <c r="ER69" s="78"/>
      <c r="ES69" s="74" t="str">
        <f t="shared" si="106"/>
        <v xml:space="preserve"> </v>
      </c>
      <c r="ET69" s="94"/>
      <c r="EU69" s="94"/>
      <c r="EV69" s="94">
        <v>0</v>
      </c>
      <c r="EW69" s="76">
        <v>0</v>
      </c>
      <c r="EX69" s="87"/>
      <c r="EY69" s="83"/>
      <c r="EZ69" s="83"/>
      <c r="FA69" s="82"/>
      <c r="FB69" s="82"/>
      <c r="FC69" s="74" t="str">
        <f t="shared" si="115"/>
        <v xml:space="preserve"> </v>
      </c>
      <c r="FD69" s="92"/>
      <c r="FE69" s="92"/>
      <c r="FF69" s="92"/>
      <c r="FG69" s="92"/>
      <c r="FH69" s="76">
        <f t="shared" si="116"/>
        <v>0</v>
      </c>
      <c r="FI69" s="89"/>
      <c r="FJ69" s="67"/>
      <c r="FK69" s="67"/>
      <c r="FL69" s="78"/>
      <c r="FM69" s="78"/>
      <c r="FN69" s="74" t="str">
        <f t="shared" si="117"/>
        <v xml:space="preserve"> </v>
      </c>
      <c r="FO69" s="94"/>
      <c r="FP69" s="94"/>
      <c r="FQ69" s="94"/>
      <c r="FR69" s="94"/>
      <c r="FS69" s="76">
        <f t="shared" si="118"/>
        <v>0</v>
      </c>
      <c r="FT69" s="87"/>
      <c r="FU69" s="83"/>
      <c r="FV69" s="83"/>
      <c r="FW69" s="82"/>
      <c r="FX69" s="82"/>
      <c r="FY69" s="74" t="str">
        <f t="shared" si="119"/>
        <v xml:space="preserve"> </v>
      </c>
      <c r="FZ69" s="92"/>
      <c r="GA69" s="92"/>
      <c r="GB69" s="92"/>
      <c r="GC69" s="92"/>
      <c r="GD69" s="76">
        <f t="shared" si="120"/>
        <v>0</v>
      </c>
      <c r="GE69" s="62"/>
      <c r="GF69" s="96" t="s">
        <v>221</v>
      </c>
      <c r="GG69" s="96" t="s">
        <v>221</v>
      </c>
      <c r="GH69" s="63"/>
      <c r="GI69" s="63"/>
      <c r="GJ69" s="63"/>
      <c r="GK69" s="97">
        <f t="shared" si="84"/>
        <v>0</v>
      </c>
      <c r="GL69" s="98"/>
      <c r="GM69" s="98"/>
      <c r="GN69" s="97">
        <f t="shared" si="121"/>
        <v>0</v>
      </c>
      <c r="GO69" s="97" t="str">
        <f t="shared" si="122"/>
        <v xml:space="preserve"> </v>
      </c>
      <c r="GP69" s="62"/>
      <c r="GQ69" s="63"/>
      <c r="GR69" s="63"/>
      <c r="GS69" s="63"/>
      <c r="GT69" s="63"/>
      <c r="GU69" s="63"/>
      <c r="GV69" s="63"/>
      <c r="GW69" s="63"/>
      <c r="GX69" s="63"/>
      <c r="GY69" s="65" t="str">
        <f t="shared" si="138"/>
        <v/>
      </c>
      <c r="GZ69" s="65" t="str">
        <f t="shared" si="139"/>
        <v/>
      </c>
      <c r="HA69" s="63"/>
      <c r="HB69" s="63"/>
      <c r="HC69" s="63"/>
      <c r="HD69" s="63"/>
      <c r="HE69" s="63"/>
      <c r="HF69" s="63"/>
      <c r="HG69" s="63"/>
      <c r="HH69" s="63"/>
      <c r="HI69" s="63"/>
      <c r="HJ69" s="63"/>
      <c r="HK69" s="63"/>
      <c r="HL69" s="65" t="str">
        <f t="shared" si="140"/>
        <v/>
      </c>
      <c r="HM69" s="65" t="str">
        <f t="shared" si="124"/>
        <v/>
      </c>
      <c r="HN69" s="65" t="str">
        <f t="shared" si="141"/>
        <v/>
      </c>
      <c r="HO69" s="65" t="str">
        <f t="shared" si="142"/>
        <v/>
      </c>
      <c r="HP69" s="99" t="str">
        <f t="shared" si="130"/>
        <v/>
      </c>
      <c r="HQ69" s="99" t="str">
        <f t="shared" si="143"/>
        <v/>
      </c>
      <c r="HR69" s="63"/>
      <c r="HS69" s="63"/>
      <c r="HT69" s="63"/>
      <c r="HU69" s="63"/>
      <c r="HV69" s="63"/>
      <c r="HW69" s="63"/>
      <c r="HX69" s="63"/>
      <c r="HY69" s="63"/>
      <c r="HZ69" s="63"/>
      <c r="IA69" s="63"/>
      <c r="IB69" s="63"/>
      <c r="IC69" s="63"/>
      <c r="ID69" s="63"/>
      <c r="IE69" s="100"/>
      <c r="IF69" s="100"/>
      <c r="IG69" s="100"/>
      <c r="IH69" s="100"/>
      <c r="II69" s="100"/>
      <c r="IJ69" s="100"/>
      <c r="IK69" s="100"/>
      <c r="IL69" s="63"/>
      <c r="IM69" s="62"/>
      <c r="IN69" s="101"/>
      <c r="IO69" s="101"/>
      <c r="IP69" s="63"/>
      <c r="IQ69" s="63"/>
      <c r="IR69" s="63"/>
      <c r="IS69" s="63"/>
      <c r="IT69" s="63"/>
      <c r="IU69" s="63"/>
      <c r="IV69" s="63"/>
      <c r="IW69" s="63"/>
      <c r="IX69" s="63"/>
      <c r="IY69" s="63"/>
      <c r="IZ69" s="63"/>
      <c r="JA69" s="65">
        <f t="shared" si="107"/>
        <v>0</v>
      </c>
      <c r="JB69" s="63"/>
      <c r="JC69" s="101"/>
      <c r="JD69" s="101"/>
      <c r="JE69" s="63"/>
      <c r="JF69" s="63"/>
      <c r="JG69" s="63"/>
      <c r="JH69" s="63"/>
      <c r="JI69" s="63"/>
      <c r="JJ69" s="63"/>
      <c r="JK69" s="63"/>
      <c r="JL69" s="63"/>
      <c r="JM69" s="63"/>
      <c r="JN69" s="63"/>
      <c r="JO69" s="63"/>
      <c r="JP69" s="65">
        <f t="shared" si="133"/>
        <v>0</v>
      </c>
      <c r="JQ69" s="63"/>
      <c r="LM69" s="205"/>
      <c r="LN69" s="102">
        <f>IFERROR(ROWS($IL$8:IL69)," ")</f>
        <v>62</v>
      </c>
      <c r="LO69" s="103" t="str">
        <f>IFERROR(IF([1]Checklist!$C$3='GenInfo (2)'!E69,'GenInfo (2)'!LN69," ")," ")</f>
        <v xml:space="preserve"> </v>
      </c>
      <c r="LP69" s="104" t="str">
        <f>IFERROR(SMALL($LO$8:$LO$94,ROWS($IL$8:IL69))," ")</f>
        <v xml:space="preserve"> </v>
      </c>
      <c r="LQ69" s="102">
        <f>IFERROR(ROWS($IL$8:IL69)," ")</f>
        <v>62</v>
      </c>
      <c r="LR69" s="103" t="str">
        <f>IFERROR(IF([1]Checklist!$C$4='GenInfo (2)'!E69,'GenInfo (2)'!LQ69," ")," ")</f>
        <v xml:space="preserve"> </v>
      </c>
      <c r="LS69" s="104" t="str">
        <f>IFERROR(SMALL($LR$8:$LR$94,ROWS($IL$8:IL69))," ")</f>
        <v xml:space="preserve"> </v>
      </c>
      <c r="LT69" s="102">
        <f>IFERROR(ROWS($IL$8:IL69)," ")</f>
        <v>62</v>
      </c>
      <c r="LU69" s="103" t="str">
        <f>IFERROR(IF([1]Checklist!$C$5='GenInfo (2)'!E69,'GenInfo (2)'!LT69," ")," ")</f>
        <v xml:space="preserve"> </v>
      </c>
      <c r="LV69" s="104" t="str">
        <f>IFERROR(SMALL($LU$8:$LU$94,ROWS($IL$8:IL69))," ")</f>
        <v xml:space="preserve"> </v>
      </c>
      <c r="LW69" s="102">
        <f>IFERROR(ROWS($IL$8:IL69)," ")</f>
        <v>62</v>
      </c>
      <c r="LX69" s="103" t="str">
        <f>IFERROR(IF([1]Checklist!$C$6='GenInfo (2)'!E69,'GenInfo (2)'!LW69," ")," ")</f>
        <v xml:space="preserve"> </v>
      </c>
      <c r="LY69" s="104" t="str">
        <f>IFERROR(SMALL($LX$8:$LX$94,ROWS($IL$8:IL69))," ")</f>
        <v xml:space="preserve"> </v>
      </c>
      <c r="LZ69" s="102">
        <f>IFERROR(ROWS($IL$8:IL69)," ")</f>
        <v>62</v>
      </c>
      <c r="MA69" s="103" t="str">
        <f>IFERROR(IF([1]Checklist!$C$7='GenInfo (2)'!E69,'GenInfo (2)'!LZ69," ")," ")</f>
        <v xml:space="preserve"> </v>
      </c>
      <c r="MB69" s="104" t="str">
        <f>IFERROR(SMALL($MA$8:$MA$94,ROWS($IL$8:IL69))," ")</f>
        <v xml:space="preserve"> </v>
      </c>
      <c r="MC69" s="102">
        <f>IFERROR(ROWS($IL$8:IL69)," ")</f>
        <v>62</v>
      </c>
      <c r="MD69" s="103" t="str">
        <f>IFERROR(IF([1]Checklist!$C$8='GenInfo (2)'!E69,'GenInfo (2)'!MC69," ")," ")</f>
        <v xml:space="preserve"> </v>
      </c>
      <c r="ME69" s="104" t="str">
        <f>IFERROR(SMALL($MD$8:$MD$94,ROWS($IL$8:IL69))," ")</f>
        <v xml:space="preserve"> </v>
      </c>
      <c r="MF69" s="102">
        <f>IFERROR(ROWS($IL$8:IL69)," ")</f>
        <v>62</v>
      </c>
      <c r="MG69" s="103" t="str">
        <f>IFERROR(IF([1]Checklist!$C$9='GenInfo (2)'!E69,'GenInfo (2)'!MF69," ")," ")</f>
        <v xml:space="preserve"> </v>
      </c>
      <c r="MH69" s="104" t="str">
        <f>IFERROR(SMALL($MG$8:$MG$94,ROWS($IL$8:IL69))," ")</f>
        <v xml:space="preserve"> </v>
      </c>
      <c r="MI69" s="102">
        <f>IFERROR(ROWS($IL$8:$IL69)," ")</f>
        <v>62</v>
      </c>
      <c r="MJ69" s="103" t="str">
        <f>IFERROR(IF([1]Checklist!$C$10='GenInfo (2)'!E69,'GenInfo (2)'!MI69," ")," ")</f>
        <v xml:space="preserve"> </v>
      </c>
      <c r="MK69" s="104" t="str">
        <f>IFERROR(SMALL($MJ$8:$MJ$94,ROWS($IL$8:IL69))," ")</f>
        <v xml:space="preserve"> </v>
      </c>
      <c r="ML69" s="102">
        <f>IFERROR(ROWS($IL$8:IL69)," ")</f>
        <v>62</v>
      </c>
      <c r="MM69" s="103" t="str">
        <f>IFERROR(IF([1]Checklist!$C$11='GenInfo (2)'!E69,'GenInfo (2)'!ML69," ")," ")</f>
        <v xml:space="preserve"> </v>
      </c>
      <c r="MN69" s="104" t="str">
        <f>IFERROR(SMALL($MM$8:$MM$94,ROWS($IL$8:IL69))," ")</f>
        <v xml:space="preserve"> </v>
      </c>
      <c r="MO69" s="102">
        <f>IFERROR(ROWS($IL$8:IL69)," ")</f>
        <v>62</v>
      </c>
      <c r="MP69" s="103" t="str">
        <f>IFERROR(IF([1]Checklist!$C$12='GenInfo (2)'!E69,'GenInfo (2)'!MO69," ")," ")</f>
        <v xml:space="preserve"> </v>
      </c>
      <c r="MQ69" s="104" t="str">
        <f>IFERROR(SMALL($MP$8:$MP$94,ROWS($IL$8:IL69))," ")</f>
        <v xml:space="preserve"> </v>
      </c>
      <c r="MR69" s="102">
        <f>IFERROR(ROWS($IL$8:IL69)," ")</f>
        <v>62</v>
      </c>
      <c r="MS69" s="103" t="str">
        <f>IFERROR(IF([1]Checklist!$C$13='GenInfo (2)'!E69,'GenInfo (2)'!MR69," ")," ")</f>
        <v xml:space="preserve"> </v>
      </c>
      <c r="MT69" s="104" t="str">
        <f>IFERROR(SMALL($MS$8:$MS$94,ROWS($IL$8:IL69))," ")</f>
        <v xml:space="preserve"> </v>
      </c>
      <c r="MU69" s="102">
        <f>IFERROR(ROWS($IL$8:IL69)," ")</f>
        <v>62</v>
      </c>
      <c r="MV69" s="103" t="str">
        <f>IFERROR(IF([1]Checklist!$C$14='GenInfo (2)'!E69,'GenInfo (2)'!MU69," ")," ")</f>
        <v xml:space="preserve"> </v>
      </c>
      <c r="MW69" s="104" t="str">
        <f>IFERROR(SMALL($MV$8:$MV$94,ROWS($IL$8:IL69))," ")</f>
        <v xml:space="preserve"> </v>
      </c>
      <c r="MX69" s="102">
        <f>IFERROR(ROWS($IL$8:IL69)," ")</f>
        <v>62</v>
      </c>
      <c r="MY69" s="103" t="str">
        <f>IFERROR(IF([1]Checklist!$C$15='GenInfo (2)'!E69,'GenInfo (2)'!MX69," ")," ")</f>
        <v xml:space="preserve"> </v>
      </c>
      <c r="MZ69" s="104" t="str">
        <f>IFERROR(SMALL($MY$8:$MY$94,ROWS($IL$8:IL69))," ")</f>
        <v xml:space="preserve"> </v>
      </c>
      <c r="NA69" s="102">
        <f>IFERROR(ROWS($IL$8:IL69)," ")</f>
        <v>62</v>
      </c>
      <c r="NB69" s="103" t="str">
        <f>IFERROR(IF([1]Checklist!$C$16='GenInfo (2)'!E69,'GenInfo (2)'!NA69," ")," ")</f>
        <v xml:space="preserve"> </v>
      </c>
      <c r="NC69" s="104" t="str">
        <f>IFERROR(SMALL($NB$8:$NB$94,ROWS($IL$8:IL69))," ")</f>
        <v xml:space="preserve"> </v>
      </c>
      <c r="ND69" s="102">
        <f>IFERROR(ROWS($IL$8:IL69)," ")</f>
        <v>62</v>
      </c>
      <c r="NE69" s="103" t="str">
        <f>IFERROR(IF([1]Checklist!$C$17='GenInfo (2)'!E69,'GenInfo (2)'!ND69," ")," ")</f>
        <v xml:space="preserve"> </v>
      </c>
      <c r="NF69" s="104" t="str">
        <f>IFERROR(SMALL($NE$8:$NE$94,ROWS($IL$8:IL69))," ")</f>
        <v xml:space="preserve"> </v>
      </c>
    </row>
    <row r="70" spans="5:370" ht="14.25" x14ac:dyDescent="0.45">
      <c r="E70" s="64"/>
      <c r="F70" s="63"/>
      <c r="G70" s="64"/>
      <c r="H70" s="63"/>
      <c r="I70" s="63"/>
      <c r="J70" s="63"/>
      <c r="K70" s="62"/>
      <c r="L70" s="67"/>
      <c r="M70" s="67"/>
      <c r="N70" s="67"/>
      <c r="O70" s="68"/>
      <c r="P70" s="67"/>
      <c r="Q70" s="67"/>
      <c r="R70" s="63"/>
      <c r="S70" s="67"/>
      <c r="T70" s="63"/>
      <c r="U70" s="62"/>
      <c r="V70" s="63"/>
      <c r="W70" s="63"/>
      <c r="X70" s="69"/>
      <c r="Y70" s="63"/>
      <c r="Z70" s="69"/>
      <c r="AA70" s="62"/>
      <c r="AB70" s="63"/>
      <c r="AC70" s="63"/>
      <c r="AD70" s="63"/>
      <c r="AE70" s="63"/>
      <c r="AF70" s="63"/>
      <c r="AG70" s="63"/>
      <c r="AH70" s="63"/>
      <c r="AI70" s="63"/>
      <c r="AJ70" s="63"/>
      <c r="AK70" s="62"/>
      <c r="AL70" s="71">
        <f t="shared" si="95"/>
        <v>0</v>
      </c>
      <c r="AM70" s="71">
        <f t="shared" ca="1" si="137"/>
        <v>122</v>
      </c>
      <c r="AN70" s="63"/>
      <c r="AO70" s="72" t="str">
        <f t="shared" ca="1" si="97"/>
        <v/>
      </c>
      <c r="AP70" s="63"/>
      <c r="AQ70" s="73"/>
      <c r="AR70" s="70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2"/>
      <c r="BE70" s="71">
        <f t="shared" si="144"/>
        <v>0</v>
      </c>
      <c r="BF70" s="71">
        <f t="shared" si="144"/>
        <v>0</v>
      </c>
      <c r="BG70" s="71">
        <f t="shared" si="99"/>
        <v>0</v>
      </c>
      <c r="BH70" s="74" t="str">
        <f t="shared" si="100"/>
        <v xml:space="preserve"> </v>
      </c>
      <c r="BI70" s="75" t="str">
        <f t="shared" si="101"/>
        <v xml:space="preserve"> </v>
      </c>
      <c r="BJ70" s="71">
        <f t="shared" si="102"/>
        <v>0</v>
      </c>
      <c r="BK70" s="75" t="str">
        <f t="shared" si="103"/>
        <v xml:space="preserve"> </v>
      </c>
      <c r="BL70" s="76">
        <f t="shared" si="145"/>
        <v>0</v>
      </c>
      <c r="BM70" s="77">
        <f t="shared" si="145"/>
        <v>0</v>
      </c>
      <c r="BN70" s="78"/>
      <c r="BO70" s="67"/>
      <c r="BP70" s="67"/>
      <c r="BQ70" s="63"/>
      <c r="BR70" s="63"/>
      <c r="BS70" s="74" t="str">
        <f t="shared" si="108"/>
        <v xml:space="preserve"> </v>
      </c>
      <c r="BT70" s="79" t="s">
        <v>221</v>
      </c>
      <c r="BU70" s="79" t="s">
        <v>221</v>
      </c>
      <c r="BV70" s="80">
        <v>0</v>
      </c>
      <c r="BW70" s="81">
        <v>0</v>
      </c>
      <c r="BX70" s="82"/>
      <c r="BY70" s="83"/>
      <c r="BZ70" s="83"/>
      <c r="CA70" s="84"/>
      <c r="CB70" s="84"/>
      <c r="CC70" s="74" t="str">
        <f t="shared" si="109"/>
        <v xml:space="preserve"> </v>
      </c>
      <c r="CD70" s="79" t="s">
        <v>221</v>
      </c>
      <c r="CE70" s="81">
        <v>0</v>
      </c>
      <c r="CF70" s="85"/>
      <c r="CG70" s="85"/>
      <c r="CH70" s="85"/>
      <c r="CI70" s="78"/>
      <c r="CJ70" s="78"/>
      <c r="CK70" s="74" t="str">
        <f t="shared" si="110"/>
        <v xml:space="preserve"> </v>
      </c>
      <c r="CL70" s="79" t="s">
        <v>221</v>
      </c>
      <c r="CM70" s="79" t="s">
        <v>221</v>
      </c>
      <c r="CN70" s="86" t="s">
        <v>221</v>
      </c>
      <c r="CO70" s="81">
        <v>0</v>
      </c>
      <c r="CP70" s="87"/>
      <c r="CQ70" s="83"/>
      <c r="CR70" s="83"/>
      <c r="CS70" s="82"/>
      <c r="CT70" s="82"/>
      <c r="CU70" s="74" t="str">
        <f t="shared" si="111"/>
        <v xml:space="preserve"> </v>
      </c>
      <c r="CV70" s="79" t="s">
        <v>221</v>
      </c>
      <c r="CW70" s="79" t="s">
        <v>221</v>
      </c>
      <c r="CX70" s="88" t="s">
        <v>221</v>
      </c>
      <c r="CY70" s="81">
        <v>0</v>
      </c>
      <c r="CZ70" s="89"/>
      <c r="DA70" s="67"/>
      <c r="DB70" s="67"/>
      <c r="DC70" s="78"/>
      <c r="DD70" s="78"/>
      <c r="DE70" s="74" t="str">
        <f t="shared" si="112"/>
        <v xml:space="preserve"> </v>
      </c>
      <c r="DF70" s="79" t="s">
        <v>221</v>
      </c>
      <c r="DG70" s="79" t="s">
        <v>221</v>
      </c>
      <c r="DH70" s="79" t="s">
        <v>221</v>
      </c>
      <c r="DI70" s="81">
        <v>0</v>
      </c>
      <c r="DJ70" s="87"/>
      <c r="DK70" s="83"/>
      <c r="DL70" s="83"/>
      <c r="DM70" s="82"/>
      <c r="DN70" s="82"/>
      <c r="DO70" s="74" t="str">
        <f t="shared" si="113"/>
        <v xml:space="preserve"> </v>
      </c>
      <c r="DP70" s="79" t="s">
        <v>221</v>
      </c>
      <c r="DQ70" s="79" t="s">
        <v>221</v>
      </c>
      <c r="DR70" s="79" t="s">
        <v>221</v>
      </c>
      <c r="DS70" s="81">
        <v>0</v>
      </c>
      <c r="DT70" s="89"/>
      <c r="DU70" s="67"/>
      <c r="DV70" s="67"/>
      <c r="DW70" s="78"/>
      <c r="DX70" s="78"/>
      <c r="DY70" s="74" t="str">
        <f t="shared" si="114"/>
        <v xml:space="preserve"> </v>
      </c>
      <c r="DZ70" s="94"/>
      <c r="EA70" s="94"/>
      <c r="EB70" s="94"/>
      <c r="EC70" s="94"/>
      <c r="ED70" s="87"/>
      <c r="EE70" s="83"/>
      <c r="EF70" s="83"/>
      <c r="EG70" s="82"/>
      <c r="EH70" s="82"/>
      <c r="EI70" s="74" t="str">
        <f t="shared" si="105"/>
        <v xml:space="preserve"> </v>
      </c>
      <c r="EJ70" s="92"/>
      <c r="EK70" s="92"/>
      <c r="EL70" s="92"/>
      <c r="EM70" s="92"/>
      <c r="EN70" s="89"/>
      <c r="EO70" s="67"/>
      <c r="EP70" s="67"/>
      <c r="EQ70" s="78"/>
      <c r="ER70" s="78"/>
      <c r="ES70" s="74" t="str">
        <f t="shared" si="106"/>
        <v xml:space="preserve"> </v>
      </c>
      <c r="ET70" s="94"/>
      <c r="EU70" s="94"/>
      <c r="EV70" s="94">
        <v>0</v>
      </c>
      <c r="EW70" s="76">
        <v>0</v>
      </c>
      <c r="EX70" s="87"/>
      <c r="EY70" s="83"/>
      <c r="EZ70" s="83"/>
      <c r="FA70" s="82"/>
      <c r="FB70" s="82"/>
      <c r="FC70" s="74" t="str">
        <f t="shared" si="115"/>
        <v xml:space="preserve"> </v>
      </c>
      <c r="FD70" s="92"/>
      <c r="FE70" s="92"/>
      <c r="FF70" s="92"/>
      <c r="FG70" s="92"/>
      <c r="FH70" s="76">
        <f t="shared" si="116"/>
        <v>0</v>
      </c>
      <c r="FI70" s="89"/>
      <c r="FJ70" s="67"/>
      <c r="FK70" s="67"/>
      <c r="FL70" s="78"/>
      <c r="FM70" s="78"/>
      <c r="FN70" s="74" t="str">
        <f t="shared" si="117"/>
        <v xml:space="preserve"> </v>
      </c>
      <c r="FO70" s="94"/>
      <c r="FP70" s="94"/>
      <c r="FQ70" s="94"/>
      <c r="FR70" s="94"/>
      <c r="FS70" s="76">
        <f t="shared" si="118"/>
        <v>0</v>
      </c>
      <c r="FT70" s="87"/>
      <c r="FU70" s="83"/>
      <c r="FV70" s="83"/>
      <c r="FW70" s="82"/>
      <c r="FX70" s="82"/>
      <c r="FY70" s="74" t="str">
        <f t="shared" si="119"/>
        <v xml:space="preserve"> </v>
      </c>
      <c r="FZ70" s="92"/>
      <c r="GA70" s="92"/>
      <c r="GB70" s="92"/>
      <c r="GC70" s="92"/>
      <c r="GD70" s="76">
        <f t="shared" si="120"/>
        <v>0</v>
      </c>
      <c r="GE70" s="62"/>
      <c r="GF70" s="96" t="s">
        <v>221</v>
      </c>
      <c r="GG70" s="96" t="s">
        <v>221</v>
      </c>
      <c r="GH70" s="63"/>
      <c r="GI70" s="63"/>
      <c r="GJ70" s="63"/>
      <c r="GK70" s="97">
        <f t="shared" si="84"/>
        <v>0</v>
      </c>
      <c r="GL70" s="98"/>
      <c r="GM70" s="98"/>
      <c r="GN70" s="97">
        <f t="shared" si="121"/>
        <v>0</v>
      </c>
      <c r="GO70" s="97" t="str">
        <f t="shared" si="122"/>
        <v xml:space="preserve"> </v>
      </c>
      <c r="GP70" s="62"/>
      <c r="GQ70" s="63"/>
      <c r="GR70" s="63"/>
      <c r="GS70" s="63"/>
      <c r="GT70" s="63"/>
      <c r="GU70" s="63"/>
      <c r="GV70" s="63"/>
      <c r="GW70" s="63"/>
      <c r="GX70" s="63"/>
      <c r="GY70" s="65" t="str">
        <f t="shared" si="138"/>
        <v/>
      </c>
      <c r="GZ70" s="65" t="str">
        <f t="shared" si="139"/>
        <v/>
      </c>
      <c r="HA70" s="63"/>
      <c r="HB70" s="63"/>
      <c r="HC70" s="63"/>
      <c r="HD70" s="63"/>
      <c r="HE70" s="63"/>
      <c r="HF70" s="63"/>
      <c r="HG70" s="63"/>
      <c r="HH70" s="63"/>
      <c r="HI70" s="63"/>
      <c r="HJ70" s="63"/>
      <c r="HK70" s="63"/>
      <c r="HL70" s="65" t="str">
        <f t="shared" si="140"/>
        <v/>
      </c>
      <c r="HM70" s="65" t="str">
        <f t="shared" si="124"/>
        <v/>
      </c>
      <c r="HN70" s="65" t="str">
        <f t="shared" si="141"/>
        <v/>
      </c>
      <c r="HO70" s="65" t="str">
        <f t="shared" si="142"/>
        <v/>
      </c>
      <c r="HP70" s="99" t="str">
        <f t="shared" si="130"/>
        <v/>
      </c>
      <c r="HQ70" s="99" t="str">
        <f t="shared" si="143"/>
        <v/>
      </c>
      <c r="HR70" s="63"/>
      <c r="HS70" s="63"/>
      <c r="HT70" s="63"/>
      <c r="HU70" s="63"/>
      <c r="HV70" s="63"/>
      <c r="HW70" s="63"/>
      <c r="HX70" s="63"/>
      <c r="HY70" s="63"/>
      <c r="HZ70" s="63"/>
      <c r="IA70" s="63"/>
      <c r="IB70" s="63"/>
      <c r="IC70" s="63"/>
      <c r="ID70" s="63"/>
      <c r="IE70" s="100"/>
      <c r="IF70" s="100"/>
      <c r="IG70" s="100"/>
      <c r="IH70" s="100"/>
      <c r="II70" s="100"/>
      <c r="IJ70" s="100"/>
      <c r="IK70" s="100"/>
      <c r="IL70" s="63"/>
      <c r="IM70" s="62"/>
      <c r="IN70" s="101"/>
      <c r="IO70" s="101"/>
      <c r="IP70" s="63"/>
      <c r="IQ70" s="63"/>
      <c r="IR70" s="63"/>
      <c r="IS70" s="63"/>
      <c r="IT70" s="63"/>
      <c r="IU70" s="63"/>
      <c r="IV70" s="63"/>
      <c r="IW70" s="63"/>
      <c r="IX70" s="63"/>
      <c r="IY70" s="63"/>
      <c r="IZ70" s="63"/>
      <c r="JA70" s="65">
        <f t="shared" si="107"/>
        <v>0</v>
      </c>
      <c r="JB70" s="63"/>
      <c r="JC70" s="101"/>
      <c r="JD70" s="101"/>
      <c r="JE70" s="63"/>
      <c r="JF70" s="63"/>
      <c r="JG70" s="63"/>
      <c r="JH70" s="63"/>
      <c r="JI70" s="63"/>
      <c r="JJ70" s="63"/>
      <c r="JK70" s="63"/>
      <c r="JL70" s="63"/>
      <c r="JM70" s="63"/>
      <c r="JN70" s="63"/>
      <c r="JO70" s="63"/>
      <c r="JP70" s="65">
        <f t="shared" si="133"/>
        <v>0</v>
      </c>
      <c r="JQ70" s="63"/>
      <c r="LM70" s="205"/>
      <c r="LN70" s="102">
        <f>IFERROR(ROWS($IL$8:IL70)," ")</f>
        <v>63</v>
      </c>
      <c r="LO70" s="103" t="str">
        <f>IFERROR(IF([1]Checklist!$C$3='GenInfo (2)'!E70,'GenInfo (2)'!LN70," ")," ")</f>
        <v xml:space="preserve"> </v>
      </c>
      <c r="LP70" s="104" t="str">
        <f>IFERROR(SMALL($LO$8:$LO$94,ROWS($IL$8:IL70))," ")</f>
        <v xml:space="preserve"> </v>
      </c>
      <c r="LQ70" s="102">
        <f>IFERROR(ROWS($IL$8:IL70)," ")</f>
        <v>63</v>
      </c>
      <c r="LR70" s="103" t="str">
        <f>IFERROR(IF([1]Checklist!$C$4='GenInfo (2)'!E70,'GenInfo (2)'!LQ70," ")," ")</f>
        <v xml:space="preserve"> </v>
      </c>
      <c r="LS70" s="104" t="str">
        <f>IFERROR(SMALL($LR$8:$LR$94,ROWS($IL$8:IL70))," ")</f>
        <v xml:space="preserve"> </v>
      </c>
      <c r="LT70" s="102">
        <f>IFERROR(ROWS($IL$8:IL70)," ")</f>
        <v>63</v>
      </c>
      <c r="LU70" s="103" t="str">
        <f>IFERROR(IF([1]Checklist!$C$5='GenInfo (2)'!E70,'GenInfo (2)'!LT70," ")," ")</f>
        <v xml:space="preserve"> </v>
      </c>
      <c r="LV70" s="104" t="str">
        <f>IFERROR(SMALL($LU$8:$LU$94,ROWS($IL$8:IL70))," ")</f>
        <v xml:space="preserve"> </v>
      </c>
      <c r="LW70" s="102">
        <f>IFERROR(ROWS($IL$8:IL70)," ")</f>
        <v>63</v>
      </c>
      <c r="LX70" s="103" t="str">
        <f>IFERROR(IF([1]Checklist!$C$6='GenInfo (2)'!E70,'GenInfo (2)'!LW70," ")," ")</f>
        <v xml:space="preserve"> </v>
      </c>
      <c r="LY70" s="104" t="str">
        <f>IFERROR(SMALL($LX$8:$LX$94,ROWS($IL$8:IL70))," ")</f>
        <v xml:space="preserve"> </v>
      </c>
      <c r="LZ70" s="102">
        <f>IFERROR(ROWS($IL$8:IL70)," ")</f>
        <v>63</v>
      </c>
      <c r="MA70" s="103" t="str">
        <f>IFERROR(IF([1]Checklist!$C$7='GenInfo (2)'!E70,'GenInfo (2)'!LZ70," ")," ")</f>
        <v xml:space="preserve"> </v>
      </c>
      <c r="MB70" s="104" t="str">
        <f>IFERROR(SMALL($MA$8:$MA$94,ROWS($IL$8:IL70))," ")</f>
        <v xml:space="preserve"> </v>
      </c>
      <c r="MC70" s="102">
        <f>IFERROR(ROWS($IL$8:IL70)," ")</f>
        <v>63</v>
      </c>
      <c r="MD70" s="103" t="str">
        <f>IFERROR(IF([1]Checklist!$C$8='GenInfo (2)'!E70,'GenInfo (2)'!MC70," ")," ")</f>
        <v xml:space="preserve"> </v>
      </c>
      <c r="ME70" s="104" t="str">
        <f>IFERROR(SMALL($MD$8:$MD$94,ROWS($IL$8:IL70))," ")</f>
        <v xml:space="preserve"> </v>
      </c>
      <c r="MF70" s="102">
        <f>IFERROR(ROWS($IL$8:IL70)," ")</f>
        <v>63</v>
      </c>
      <c r="MG70" s="103" t="str">
        <f>IFERROR(IF([1]Checklist!$C$9='GenInfo (2)'!E70,'GenInfo (2)'!MF70," ")," ")</f>
        <v xml:space="preserve"> </v>
      </c>
      <c r="MH70" s="104" t="str">
        <f>IFERROR(SMALL($MG$8:$MG$94,ROWS($IL$8:IL70))," ")</f>
        <v xml:space="preserve"> </v>
      </c>
      <c r="MI70" s="102">
        <f>IFERROR(ROWS($IL$8:$IL70)," ")</f>
        <v>63</v>
      </c>
      <c r="MJ70" s="103" t="str">
        <f>IFERROR(IF([1]Checklist!$C$10='GenInfo (2)'!E70,'GenInfo (2)'!MI70," ")," ")</f>
        <v xml:space="preserve"> </v>
      </c>
      <c r="MK70" s="104" t="str">
        <f>IFERROR(SMALL($MJ$8:$MJ$94,ROWS($IL$8:IL70))," ")</f>
        <v xml:space="preserve"> </v>
      </c>
      <c r="ML70" s="102">
        <f>IFERROR(ROWS($IL$8:IL70)," ")</f>
        <v>63</v>
      </c>
      <c r="MM70" s="103" t="str">
        <f>IFERROR(IF([1]Checklist!$C$11='GenInfo (2)'!E70,'GenInfo (2)'!ML70," ")," ")</f>
        <v xml:space="preserve"> </v>
      </c>
      <c r="MN70" s="104" t="str">
        <f>IFERROR(SMALL($MM$8:$MM$94,ROWS($IL$8:IL70))," ")</f>
        <v xml:space="preserve"> </v>
      </c>
      <c r="MO70" s="102">
        <f>IFERROR(ROWS($IL$8:IL70)," ")</f>
        <v>63</v>
      </c>
      <c r="MP70" s="103" t="str">
        <f>IFERROR(IF([1]Checklist!$C$12='GenInfo (2)'!E70,'GenInfo (2)'!MO70," ")," ")</f>
        <v xml:space="preserve"> </v>
      </c>
      <c r="MQ70" s="104" t="str">
        <f>IFERROR(SMALL($MP$8:$MP$94,ROWS($IL$8:IL70))," ")</f>
        <v xml:space="preserve"> </v>
      </c>
      <c r="MR70" s="102">
        <f>IFERROR(ROWS($IL$8:IL70)," ")</f>
        <v>63</v>
      </c>
      <c r="MS70" s="103" t="str">
        <f>IFERROR(IF([1]Checklist!$C$13='GenInfo (2)'!E70,'GenInfo (2)'!MR70," ")," ")</f>
        <v xml:space="preserve"> </v>
      </c>
      <c r="MT70" s="104" t="str">
        <f>IFERROR(SMALL($MS$8:$MS$94,ROWS($IL$8:IL70))," ")</f>
        <v xml:space="preserve"> </v>
      </c>
      <c r="MU70" s="102">
        <f>IFERROR(ROWS($IL$8:IL70)," ")</f>
        <v>63</v>
      </c>
      <c r="MV70" s="103" t="str">
        <f>IFERROR(IF([1]Checklist!$C$14='GenInfo (2)'!E70,'GenInfo (2)'!MU70," ")," ")</f>
        <v xml:space="preserve"> </v>
      </c>
      <c r="MW70" s="104" t="str">
        <f>IFERROR(SMALL($MV$8:$MV$94,ROWS($IL$8:IL70))," ")</f>
        <v xml:space="preserve"> </v>
      </c>
      <c r="MX70" s="102">
        <f>IFERROR(ROWS($IL$8:IL70)," ")</f>
        <v>63</v>
      </c>
      <c r="MY70" s="103" t="str">
        <f>IFERROR(IF([1]Checklist!$C$15='GenInfo (2)'!E70,'GenInfo (2)'!MX70," ")," ")</f>
        <v xml:space="preserve"> </v>
      </c>
      <c r="MZ70" s="104" t="str">
        <f>IFERROR(SMALL($MY$8:$MY$94,ROWS($IL$8:IL70))," ")</f>
        <v xml:space="preserve"> </v>
      </c>
      <c r="NA70" s="102">
        <f>IFERROR(ROWS($IL$8:IL70)," ")</f>
        <v>63</v>
      </c>
      <c r="NB70" s="103" t="str">
        <f>IFERROR(IF([1]Checklist!$C$16='GenInfo (2)'!E70,'GenInfo (2)'!NA70," ")," ")</f>
        <v xml:space="preserve"> </v>
      </c>
      <c r="NC70" s="104" t="str">
        <f>IFERROR(SMALL($NB$8:$NB$94,ROWS($IL$8:IL70))," ")</f>
        <v xml:space="preserve"> </v>
      </c>
      <c r="ND70" s="102">
        <f>IFERROR(ROWS($IL$8:IL70)," ")</f>
        <v>63</v>
      </c>
      <c r="NE70" s="103" t="str">
        <f>IFERROR(IF([1]Checklist!$C$17='GenInfo (2)'!E70,'GenInfo (2)'!ND70," ")," ")</f>
        <v xml:space="preserve"> </v>
      </c>
      <c r="NF70" s="104" t="str">
        <f>IFERROR(SMALL($NE$8:$NE$94,ROWS($IL$8:IL70))," ")</f>
        <v xml:space="preserve"> </v>
      </c>
    </row>
    <row r="71" spans="5:370" ht="14.25" x14ac:dyDescent="0.45">
      <c r="E71" s="64"/>
      <c r="F71" s="63"/>
      <c r="G71" s="64"/>
      <c r="H71" s="63"/>
      <c r="I71" s="63"/>
      <c r="J71" s="63"/>
      <c r="K71" s="62"/>
      <c r="L71" s="67"/>
      <c r="M71" s="67"/>
      <c r="N71" s="67"/>
      <c r="O71" s="68"/>
      <c r="P71" s="67"/>
      <c r="Q71" s="67"/>
      <c r="R71" s="63"/>
      <c r="S71" s="67"/>
      <c r="T71" s="63"/>
      <c r="U71" s="62"/>
      <c r="V71" s="63"/>
      <c r="W71" s="63"/>
      <c r="X71" s="69"/>
      <c r="Y71" s="63"/>
      <c r="Z71" s="69"/>
      <c r="AA71" s="62"/>
      <c r="AB71" s="63"/>
      <c r="AC71" s="63"/>
      <c r="AD71" s="63"/>
      <c r="AE71" s="63"/>
      <c r="AF71" s="63"/>
      <c r="AG71" s="63"/>
      <c r="AH71" s="63"/>
      <c r="AI71" s="63"/>
      <c r="AJ71" s="63"/>
      <c r="AK71" s="62"/>
      <c r="AL71" s="71">
        <f t="shared" si="95"/>
        <v>0</v>
      </c>
      <c r="AM71" s="71">
        <f t="shared" ca="1" si="137"/>
        <v>122</v>
      </c>
      <c r="AN71" s="63"/>
      <c r="AO71" s="72" t="str">
        <f t="shared" ca="1" si="97"/>
        <v/>
      </c>
      <c r="AP71" s="63"/>
      <c r="AQ71" s="73"/>
      <c r="AR71" s="70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2"/>
      <c r="BE71" s="71">
        <f t="shared" si="144"/>
        <v>0</v>
      </c>
      <c r="BF71" s="71">
        <f t="shared" si="144"/>
        <v>0</v>
      </c>
      <c r="BG71" s="71">
        <f t="shared" si="99"/>
        <v>0</v>
      </c>
      <c r="BH71" s="74" t="str">
        <f t="shared" si="100"/>
        <v xml:space="preserve"> </v>
      </c>
      <c r="BI71" s="75" t="str">
        <f t="shared" si="101"/>
        <v xml:space="preserve"> </v>
      </c>
      <c r="BJ71" s="71">
        <f t="shared" si="102"/>
        <v>0</v>
      </c>
      <c r="BK71" s="75" t="str">
        <f t="shared" si="103"/>
        <v xml:space="preserve"> </v>
      </c>
      <c r="BL71" s="76">
        <f t="shared" si="145"/>
        <v>0</v>
      </c>
      <c r="BM71" s="77">
        <f t="shared" si="145"/>
        <v>0</v>
      </c>
      <c r="BN71" s="78"/>
      <c r="BO71" s="67"/>
      <c r="BP71" s="67"/>
      <c r="BQ71" s="63"/>
      <c r="BR71" s="63"/>
      <c r="BS71" s="74" t="str">
        <f t="shared" si="108"/>
        <v xml:space="preserve"> </v>
      </c>
      <c r="BT71" s="79" t="s">
        <v>221</v>
      </c>
      <c r="BU71" s="79" t="s">
        <v>221</v>
      </c>
      <c r="BV71" s="80">
        <v>0</v>
      </c>
      <c r="BW71" s="81">
        <v>0</v>
      </c>
      <c r="BX71" s="82"/>
      <c r="BY71" s="83"/>
      <c r="BZ71" s="83"/>
      <c r="CA71" s="84"/>
      <c r="CB71" s="84"/>
      <c r="CC71" s="74" t="str">
        <f t="shared" si="109"/>
        <v xml:space="preserve"> </v>
      </c>
      <c r="CD71" s="79" t="s">
        <v>221</v>
      </c>
      <c r="CE71" s="81">
        <v>0</v>
      </c>
      <c r="CF71" s="85"/>
      <c r="CG71" s="85"/>
      <c r="CH71" s="85"/>
      <c r="CI71" s="78"/>
      <c r="CJ71" s="78"/>
      <c r="CK71" s="74" t="str">
        <f t="shared" si="110"/>
        <v xml:space="preserve"> </v>
      </c>
      <c r="CL71" s="79" t="s">
        <v>221</v>
      </c>
      <c r="CM71" s="79" t="s">
        <v>221</v>
      </c>
      <c r="CN71" s="86" t="s">
        <v>221</v>
      </c>
      <c r="CO71" s="81">
        <v>0</v>
      </c>
      <c r="CP71" s="87"/>
      <c r="CQ71" s="83"/>
      <c r="CR71" s="83"/>
      <c r="CS71" s="82"/>
      <c r="CT71" s="82"/>
      <c r="CU71" s="74" t="str">
        <f t="shared" si="111"/>
        <v xml:space="preserve"> </v>
      </c>
      <c r="CV71" s="79" t="s">
        <v>221</v>
      </c>
      <c r="CW71" s="79" t="s">
        <v>221</v>
      </c>
      <c r="CX71" s="88" t="s">
        <v>221</v>
      </c>
      <c r="CY71" s="81">
        <v>0</v>
      </c>
      <c r="CZ71" s="89"/>
      <c r="DA71" s="67"/>
      <c r="DB71" s="67"/>
      <c r="DC71" s="78"/>
      <c r="DD71" s="78"/>
      <c r="DE71" s="74" t="str">
        <f t="shared" si="112"/>
        <v xml:space="preserve"> </v>
      </c>
      <c r="DF71" s="79" t="s">
        <v>221</v>
      </c>
      <c r="DG71" s="79" t="s">
        <v>221</v>
      </c>
      <c r="DH71" s="79" t="s">
        <v>221</v>
      </c>
      <c r="DI71" s="81">
        <v>0</v>
      </c>
      <c r="DJ71" s="87"/>
      <c r="DK71" s="83"/>
      <c r="DL71" s="83"/>
      <c r="DM71" s="82"/>
      <c r="DN71" s="82"/>
      <c r="DO71" s="74" t="str">
        <f t="shared" si="113"/>
        <v xml:space="preserve"> </v>
      </c>
      <c r="DP71" s="79" t="s">
        <v>221</v>
      </c>
      <c r="DQ71" s="79" t="s">
        <v>221</v>
      </c>
      <c r="DR71" s="79" t="s">
        <v>221</v>
      </c>
      <c r="DS71" s="81">
        <v>0</v>
      </c>
      <c r="DT71" s="89"/>
      <c r="DU71" s="67"/>
      <c r="DV71" s="67"/>
      <c r="DW71" s="78"/>
      <c r="DX71" s="78"/>
      <c r="DY71" s="74" t="str">
        <f t="shared" si="114"/>
        <v xml:space="preserve"> </v>
      </c>
      <c r="DZ71" s="94"/>
      <c r="EA71" s="94"/>
      <c r="EB71" s="94"/>
      <c r="EC71" s="94"/>
      <c r="ED71" s="87"/>
      <c r="EE71" s="83"/>
      <c r="EF71" s="83"/>
      <c r="EG71" s="82"/>
      <c r="EH71" s="82"/>
      <c r="EI71" s="74" t="str">
        <f t="shared" si="105"/>
        <v xml:space="preserve"> </v>
      </c>
      <c r="EJ71" s="92"/>
      <c r="EK71" s="92"/>
      <c r="EL71" s="92"/>
      <c r="EM71" s="92"/>
      <c r="EN71" s="89"/>
      <c r="EO71" s="67"/>
      <c r="EP71" s="67"/>
      <c r="EQ71" s="78"/>
      <c r="ER71" s="78"/>
      <c r="ES71" s="74" t="str">
        <f t="shared" si="106"/>
        <v xml:space="preserve"> </v>
      </c>
      <c r="ET71" s="94"/>
      <c r="EU71" s="94"/>
      <c r="EV71" s="94">
        <v>0</v>
      </c>
      <c r="EW71" s="76">
        <v>0</v>
      </c>
      <c r="EX71" s="87"/>
      <c r="EY71" s="83"/>
      <c r="EZ71" s="83"/>
      <c r="FA71" s="82"/>
      <c r="FB71" s="82"/>
      <c r="FC71" s="74" t="str">
        <f t="shared" si="115"/>
        <v xml:space="preserve"> </v>
      </c>
      <c r="FD71" s="92"/>
      <c r="FE71" s="92"/>
      <c r="FF71" s="92"/>
      <c r="FG71" s="92"/>
      <c r="FH71" s="76">
        <f t="shared" si="116"/>
        <v>0</v>
      </c>
      <c r="FI71" s="89"/>
      <c r="FJ71" s="67"/>
      <c r="FK71" s="67"/>
      <c r="FL71" s="78"/>
      <c r="FM71" s="78"/>
      <c r="FN71" s="74" t="str">
        <f t="shared" si="117"/>
        <v xml:space="preserve"> </v>
      </c>
      <c r="FO71" s="94"/>
      <c r="FP71" s="94"/>
      <c r="FQ71" s="94"/>
      <c r="FR71" s="94"/>
      <c r="FS71" s="76">
        <f t="shared" si="118"/>
        <v>0</v>
      </c>
      <c r="FT71" s="87"/>
      <c r="FU71" s="83"/>
      <c r="FV71" s="83"/>
      <c r="FW71" s="82"/>
      <c r="FX71" s="82"/>
      <c r="FY71" s="74" t="str">
        <f t="shared" si="119"/>
        <v xml:space="preserve"> </v>
      </c>
      <c r="FZ71" s="92"/>
      <c r="GA71" s="92"/>
      <c r="GB71" s="92"/>
      <c r="GC71" s="92"/>
      <c r="GD71" s="76">
        <f t="shared" si="120"/>
        <v>0</v>
      </c>
      <c r="GE71" s="62"/>
      <c r="GF71" s="96" t="s">
        <v>221</v>
      </c>
      <c r="GG71" s="96" t="s">
        <v>221</v>
      </c>
      <c r="GH71" s="63"/>
      <c r="GI71" s="63"/>
      <c r="GJ71" s="63"/>
      <c r="GK71" s="97">
        <f t="shared" si="84"/>
        <v>0</v>
      </c>
      <c r="GL71" s="98"/>
      <c r="GM71" s="98"/>
      <c r="GN71" s="97">
        <f t="shared" si="121"/>
        <v>0</v>
      </c>
      <c r="GO71" s="97" t="str">
        <f t="shared" si="122"/>
        <v xml:space="preserve"> </v>
      </c>
      <c r="GP71" s="62"/>
      <c r="GQ71" s="63"/>
      <c r="GR71" s="63"/>
      <c r="GS71" s="63"/>
      <c r="GT71" s="63"/>
      <c r="GU71" s="63"/>
      <c r="GV71" s="63"/>
      <c r="GW71" s="63"/>
      <c r="GX71" s="63"/>
      <c r="GY71" s="65" t="str">
        <f t="shared" si="138"/>
        <v/>
      </c>
      <c r="GZ71" s="65" t="str">
        <f t="shared" si="139"/>
        <v/>
      </c>
      <c r="HA71" s="63"/>
      <c r="HB71" s="63"/>
      <c r="HC71" s="63"/>
      <c r="HD71" s="63"/>
      <c r="HE71" s="63"/>
      <c r="HF71" s="63"/>
      <c r="HG71" s="63"/>
      <c r="HH71" s="63"/>
      <c r="HI71" s="63"/>
      <c r="HJ71" s="63"/>
      <c r="HK71" s="63"/>
      <c r="HL71" s="65" t="str">
        <f t="shared" si="140"/>
        <v/>
      </c>
      <c r="HM71" s="65" t="str">
        <f t="shared" si="124"/>
        <v/>
      </c>
      <c r="HN71" s="65" t="str">
        <f t="shared" si="141"/>
        <v/>
      </c>
      <c r="HO71" s="65" t="str">
        <f t="shared" si="142"/>
        <v/>
      </c>
      <c r="HP71" s="99" t="str">
        <f t="shared" si="130"/>
        <v/>
      </c>
      <c r="HQ71" s="99" t="str">
        <f t="shared" si="143"/>
        <v/>
      </c>
      <c r="HR71" s="63"/>
      <c r="HS71" s="63"/>
      <c r="HT71" s="63"/>
      <c r="HU71" s="63"/>
      <c r="HV71" s="63"/>
      <c r="HW71" s="63"/>
      <c r="HX71" s="63"/>
      <c r="HY71" s="63"/>
      <c r="HZ71" s="63"/>
      <c r="IA71" s="63"/>
      <c r="IB71" s="63"/>
      <c r="IC71" s="63"/>
      <c r="ID71" s="63"/>
      <c r="IE71" s="100"/>
      <c r="IF71" s="100"/>
      <c r="IG71" s="100"/>
      <c r="IH71" s="100"/>
      <c r="II71" s="100"/>
      <c r="IJ71" s="100"/>
      <c r="IK71" s="100"/>
      <c r="IL71" s="63"/>
      <c r="IM71" s="62"/>
      <c r="IN71" s="101"/>
      <c r="IO71" s="101"/>
      <c r="IP71" s="63"/>
      <c r="IQ71" s="63"/>
      <c r="IR71" s="63"/>
      <c r="IS71" s="63"/>
      <c r="IT71" s="63"/>
      <c r="IU71" s="63"/>
      <c r="IV71" s="63"/>
      <c r="IW71" s="63"/>
      <c r="IX71" s="63"/>
      <c r="IY71" s="63"/>
      <c r="IZ71" s="63"/>
      <c r="JA71" s="65">
        <f t="shared" si="107"/>
        <v>0</v>
      </c>
      <c r="JB71" s="63"/>
      <c r="JC71" s="101"/>
      <c r="JD71" s="101"/>
      <c r="JE71" s="63"/>
      <c r="JF71" s="63"/>
      <c r="JG71" s="63"/>
      <c r="JH71" s="63"/>
      <c r="JI71" s="63"/>
      <c r="JJ71" s="63"/>
      <c r="JK71" s="63"/>
      <c r="JL71" s="63"/>
      <c r="JM71" s="63"/>
      <c r="JN71" s="63"/>
      <c r="JO71" s="63"/>
      <c r="JP71" s="65">
        <f t="shared" si="133"/>
        <v>0</v>
      </c>
      <c r="JQ71" s="63"/>
      <c r="LM71" s="205"/>
      <c r="LN71" s="102">
        <f>IFERROR(ROWS($IL$8:IL71)," ")</f>
        <v>64</v>
      </c>
      <c r="LO71" s="103" t="str">
        <f>IFERROR(IF([1]Checklist!$C$3='GenInfo (2)'!E71,'GenInfo (2)'!LN71," ")," ")</f>
        <v xml:space="preserve"> </v>
      </c>
      <c r="LP71" s="104" t="str">
        <f>IFERROR(SMALL($LO$8:$LO$94,ROWS($IL$8:IL71))," ")</f>
        <v xml:space="preserve"> </v>
      </c>
      <c r="LQ71" s="102">
        <f>IFERROR(ROWS($IL$8:IL71)," ")</f>
        <v>64</v>
      </c>
      <c r="LR71" s="103" t="str">
        <f>IFERROR(IF([1]Checklist!$C$4='GenInfo (2)'!E71,'GenInfo (2)'!LQ71," ")," ")</f>
        <v xml:space="preserve"> </v>
      </c>
      <c r="LS71" s="104" t="str">
        <f>IFERROR(SMALL($LR$8:$LR$94,ROWS($IL$8:IL71))," ")</f>
        <v xml:space="preserve"> </v>
      </c>
      <c r="LT71" s="102">
        <f>IFERROR(ROWS($IL$8:IL71)," ")</f>
        <v>64</v>
      </c>
      <c r="LU71" s="103" t="str">
        <f>IFERROR(IF([1]Checklist!$C$5='GenInfo (2)'!E71,'GenInfo (2)'!LT71," ")," ")</f>
        <v xml:space="preserve"> </v>
      </c>
      <c r="LV71" s="104" t="str">
        <f>IFERROR(SMALL($LU$8:$LU$94,ROWS($IL$8:IL71))," ")</f>
        <v xml:space="preserve"> </v>
      </c>
      <c r="LW71" s="102">
        <f>IFERROR(ROWS($IL$8:IL71)," ")</f>
        <v>64</v>
      </c>
      <c r="LX71" s="103" t="str">
        <f>IFERROR(IF([1]Checklist!$C$6='GenInfo (2)'!E71,'GenInfo (2)'!LW71," ")," ")</f>
        <v xml:space="preserve"> </v>
      </c>
      <c r="LY71" s="104" t="str">
        <f>IFERROR(SMALL($LX$8:$LX$94,ROWS($IL$8:IL71))," ")</f>
        <v xml:space="preserve"> </v>
      </c>
      <c r="LZ71" s="102">
        <f>IFERROR(ROWS($IL$8:IL71)," ")</f>
        <v>64</v>
      </c>
      <c r="MA71" s="103" t="str">
        <f>IFERROR(IF([1]Checklist!$C$7='GenInfo (2)'!E71,'GenInfo (2)'!LZ71," ")," ")</f>
        <v xml:space="preserve"> </v>
      </c>
      <c r="MB71" s="104" t="str">
        <f>IFERROR(SMALL($MA$8:$MA$94,ROWS($IL$8:IL71))," ")</f>
        <v xml:space="preserve"> </v>
      </c>
      <c r="MC71" s="102">
        <f>IFERROR(ROWS($IL$8:IL71)," ")</f>
        <v>64</v>
      </c>
      <c r="MD71" s="103" t="str">
        <f>IFERROR(IF([1]Checklist!$C$8='GenInfo (2)'!E71,'GenInfo (2)'!MC71," ")," ")</f>
        <v xml:space="preserve"> </v>
      </c>
      <c r="ME71" s="104" t="str">
        <f>IFERROR(SMALL($MD$8:$MD$94,ROWS($IL$8:IL71))," ")</f>
        <v xml:space="preserve"> </v>
      </c>
      <c r="MF71" s="102">
        <f>IFERROR(ROWS($IL$8:IL71)," ")</f>
        <v>64</v>
      </c>
      <c r="MG71" s="103" t="str">
        <f>IFERROR(IF([1]Checklist!$C$9='GenInfo (2)'!E71,'GenInfo (2)'!MF71," ")," ")</f>
        <v xml:space="preserve"> </v>
      </c>
      <c r="MH71" s="104" t="str">
        <f>IFERROR(SMALL($MG$8:$MG$94,ROWS($IL$8:IL71))," ")</f>
        <v xml:space="preserve"> </v>
      </c>
      <c r="MI71" s="102">
        <f>IFERROR(ROWS($IL$8:$IL71)," ")</f>
        <v>64</v>
      </c>
      <c r="MJ71" s="103" t="str">
        <f>IFERROR(IF([1]Checklist!$C$10='GenInfo (2)'!E71,'GenInfo (2)'!MI71," ")," ")</f>
        <v xml:space="preserve"> </v>
      </c>
      <c r="MK71" s="104" t="str">
        <f>IFERROR(SMALL($MJ$8:$MJ$94,ROWS($IL$8:IL71))," ")</f>
        <v xml:space="preserve"> </v>
      </c>
      <c r="ML71" s="102">
        <f>IFERROR(ROWS($IL$8:IL71)," ")</f>
        <v>64</v>
      </c>
      <c r="MM71" s="103" t="str">
        <f>IFERROR(IF([1]Checklist!$C$11='GenInfo (2)'!E71,'GenInfo (2)'!ML71," ")," ")</f>
        <v xml:space="preserve"> </v>
      </c>
      <c r="MN71" s="104" t="str">
        <f>IFERROR(SMALL($MM$8:$MM$94,ROWS($IL$8:IL71))," ")</f>
        <v xml:space="preserve"> </v>
      </c>
      <c r="MO71" s="102">
        <f>IFERROR(ROWS($IL$8:IL71)," ")</f>
        <v>64</v>
      </c>
      <c r="MP71" s="103" t="str">
        <f>IFERROR(IF([1]Checklist!$C$12='GenInfo (2)'!E71,'GenInfo (2)'!MO71," ")," ")</f>
        <v xml:space="preserve"> </v>
      </c>
      <c r="MQ71" s="104" t="str">
        <f>IFERROR(SMALL($MP$8:$MP$94,ROWS($IL$8:IL71))," ")</f>
        <v xml:space="preserve"> </v>
      </c>
      <c r="MR71" s="102">
        <f>IFERROR(ROWS($IL$8:IL71)," ")</f>
        <v>64</v>
      </c>
      <c r="MS71" s="103" t="str">
        <f>IFERROR(IF([1]Checklist!$C$13='GenInfo (2)'!E71,'GenInfo (2)'!MR71," ")," ")</f>
        <v xml:space="preserve"> </v>
      </c>
      <c r="MT71" s="104" t="str">
        <f>IFERROR(SMALL($MS$8:$MS$94,ROWS($IL$8:IL71))," ")</f>
        <v xml:space="preserve"> </v>
      </c>
      <c r="MU71" s="102">
        <f>IFERROR(ROWS($IL$8:IL71)," ")</f>
        <v>64</v>
      </c>
      <c r="MV71" s="103" t="str">
        <f>IFERROR(IF([1]Checklist!$C$14='GenInfo (2)'!E71,'GenInfo (2)'!MU71," ")," ")</f>
        <v xml:space="preserve"> </v>
      </c>
      <c r="MW71" s="104" t="str">
        <f>IFERROR(SMALL($MV$8:$MV$94,ROWS($IL$8:IL71))," ")</f>
        <v xml:space="preserve"> </v>
      </c>
      <c r="MX71" s="102">
        <f>IFERROR(ROWS($IL$8:IL71)," ")</f>
        <v>64</v>
      </c>
      <c r="MY71" s="103" t="str">
        <f>IFERROR(IF([1]Checklist!$C$15='GenInfo (2)'!E71,'GenInfo (2)'!MX71," ")," ")</f>
        <v xml:space="preserve"> </v>
      </c>
      <c r="MZ71" s="104" t="str">
        <f>IFERROR(SMALL($MY$8:$MY$94,ROWS($IL$8:IL71))," ")</f>
        <v xml:space="preserve"> </v>
      </c>
      <c r="NA71" s="102">
        <f>IFERROR(ROWS($IL$8:IL71)," ")</f>
        <v>64</v>
      </c>
      <c r="NB71" s="103" t="str">
        <f>IFERROR(IF([1]Checklist!$C$16='GenInfo (2)'!E71,'GenInfo (2)'!NA71," ")," ")</f>
        <v xml:space="preserve"> </v>
      </c>
      <c r="NC71" s="104" t="str">
        <f>IFERROR(SMALL($NB$8:$NB$94,ROWS($IL$8:IL71))," ")</f>
        <v xml:space="preserve"> </v>
      </c>
      <c r="ND71" s="102">
        <f>IFERROR(ROWS($IL$8:IL71)," ")</f>
        <v>64</v>
      </c>
      <c r="NE71" s="103" t="str">
        <f>IFERROR(IF([1]Checklist!$C$17='GenInfo (2)'!E71,'GenInfo (2)'!ND71," ")," ")</f>
        <v xml:space="preserve"> </v>
      </c>
      <c r="NF71" s="104" t="str">
        <f>IFERROR(SMALL($NE$8:$NE$94,ROWS($IL$8:IL71))," ")</f>
        <v xml:space="preserve"> </v>
      </c>
    </row>
    <row r="72" spans="5:370" ht="14.25" x14ac:dyDescent="0.45">
      <c r="E72" s="64"/>
      <c r="F72" s="63"/>
      <c r="G72" s="64"/>
      <c r="H72" s="63"/>
      <c r="I72" s="63"/>
      <c r="J72" s="63"/>
      <c r="K72" s="62"/>
      <c r="L72" s="67"/>
      <c r="M72" s="67"/>
      <c r="N72" s="67"/>
      <c r="O72" s="68"/>
      <c r="P72" s="67"/>
      <c r="Q72" s="67"/>
      <c r="R72" s="63"/>
      <c r="S72" s="67"/>
      <c r="T72" s="63"/>
      <c r="U72" s="62"/>
      <c r="V72" s="63"/>
      <c r="W72" s="63"/>
      <c r="X72" s="69"/>
      <c r="Y72" s="63"/>
      <c r="Z72" s="69"/>
      <c r="AA72" s="62"/>
      <c r="AB72" s="63"/>
      <c r="AC72" s="63"/>
      <c r="AD72" s="63"/>
      <c r="AE72" s="63"/>
      <c r="AF72" s="63"/>
      <c r="AG72" s="63"/>
      <c r="AH72" s="63"/>
      <c r="AI72" s="63"/>
      <c r="AJ72" s="63"/>
      <c r="AK72" s="62"/>
      <c r="AL72" s="71">
        <f t="shared" si="95"/>
        <v>0</v>
      </c>
      <c r="AM72" s="71">
        <f t="shared" ca="1" si="137"/>
        <v>122</v>
      </c>
      <c r="AN72" s="63"/>
      <c r="AO72" s="72" t="str">
        <f t="shared" ca="1" si="97"/>
        <v/>
      </c>
      <c r="AP72" s="63"/>
      <c r="AQ72" s="73"/>
      <c r="AR72" s="70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2"/>
      <c r="BE72" s="71">
        <f t="shared" si="144"/>
        <v>0</v>
      </c>
      <c r="BF72" s="71">
        <f t="shared" si="144"/>
        <v>0</v>
      </c>
      <c r="BG72" s="71">
        <f t="shared" si="99"/>
        <v>0</v>
      </c>
      <c r="BH72" s="74" t="str">
        <f t="shared" si="100"/>
        <v xml:space="preserve"> </v>
      </c>
      <c r="BI72" s="75" t="str">
        <f t="shared" si="101"/>
        <v xml:space="preserve"> </v>
      </c>
      <c r="BJ72" s="71">
        <f t="shared" si="102"/>
        <v>0</v>
      </c>
      <c r="BK72" s="75" t="str">
        <f t="shared" si="103"/>
        <v xml:space="preserve"> </v>
      </c>
      <c r="BL72" s="76">
        <f t="shared" si="145"/>
        <v>0</v>
      </c>
      <c r="BM72" s="77">
        <f t="shared" si="145"/>
        <v>0</v>
      </c>
      <c r="BN72" s="78"/>
      <c r="BO72" s="67"/>
      <c r="BP72" s="67"/>
      <c r="BQ72" s="63"/>
      <c r="BR72" s="63"/>
      <c r="BS72" s="74" t="str">
        <f t="shared" si="108"/>
        <v xml:space="preserve"> </v>
      </c>
      <c r="BT72" s="79" t="s">
        <v>221</v>
      </c>
      <c r="BU72" s="79" t="s">
        <v>221</v>
      </c>
      <c r="BV72" s="80">
        <v>0</v>
      </c>
      <c r="BW72" s="81">
        <v>0</v>
      </c>
      <c r="BX72" s="82"/>
      <c r="BY72" s="83"/>
      <c r="BZ72" s="83"/>
      <c r="CA72" s="84"/>
      <c r="CB72" s="84"/>
      <c r="CC72" s="74" t="str">
        <f t="shared" si="109"/>
        <v xml:space="preserve"> </v>
      </c>
      <c r="CD72" s="79" t="s">
        <v>221</v>
      </c>
      <c r="CE72" s="81">
        <v>0</v>
      </c>
      <c r="CF72" s="85"/>
      <c r="CG72" s="85"/>
      <c r="CH72" s="85"/>
      <c r="CI72" s="78"/>
      <c r="CJ72" s="78"/>
      <c r="CK72" s="74" t="str">
        <f t="shared" si="110"/>
        <v xml:space="preserve"> </v>
      </c>
      <c r="CL72" s="79" t="s">
        <v>221</v>
      </c>
      <c r="CM72" s="79" t="s">
        <v>221</v>
      </c>
      <c r="CN72" s="86" t="s">
        <v>221</v>
      </c>
      <c r="CO72" s="81">
        <v>0</v>
      </c>
      <c r="CP72" s="87"/>
      <c r="CQ72" s="83"/>
      <c r="CR72" s="83"/>
      <c r="CS72" s="82"/>
      <c r="CT72" s="82"/>
      <c r="CU72" s="74" t="str">
        <f t="shared" si="111"/>
        <v xml:space="preserve"> </v>
      </c>
      <c r="CV72" s="79" t="s">
        <v>221</v>
      </c>
      <c r="CW72" s="79" t="s">
        <v>221</v>
      </c>
      <c r="CX72" s="88" t="s">
        <v>221</v>
      </c>
      <c r="CY72" s="81">
        <v>0</v>
      </c>
      <c r="CZ72" s="89"/>
      <c r="DA72" s="67"/>
      <c r="DB72" s="67"/>
      <c r="DC72" s="78"/>
      <c r="DD72" s="78"/>
      <c r="DE72" s="74" t="str">
        <f t="shared" si="112"/>
        <v xml:space="preserve"> </v>
      </c>
      <c r="DF72" s="79" t="s">
        <v>221</v>
      </c>
      <c r="DG72" s="79" t="s">
        <v>221</v>
      </c>
      <c r="DH72" s="79" t="s">
        <v>221</v>
      </c>
      <c r="DI72" s="81">
        <v>0</v>
      </c>
      <c r="DJ72" s="87"/>
      <c r="DK72" s="83"/>
      <c r="DL72" s="83"/>
      <c r="DM72" s="82"/>
      <c r="DN72" s="82"/>
      <c r="DO72" s="74" t="str">
        <f t="shared" si="113"/>
        <v xml:space="preserve"> </v>
      </c>
      <c r="DP72" s="79" t="s">
        <v>221</v>
      </c>
      <c r="DQ72" s="79" t="s">
        <v>221</v>
      </c>
      <c r="DR72" s="79" t="s">
        <v>221</v>
      </c>
      <c r="DS72" s="81">
        <v>0</v>
      </c>
      <c r="DT72" s="89"/>
      <c r="DU72" s="67"/>
      <c r="DV72" s="67"/>
      <c r="DW72" s="78"/>
      <c r="DX72" s="78"/>
      <c r="DY72" s="74" t="str">
        <f t="shared" si="114"/>
        <v xml:space="preserve"> </v>
      </c>
      <c r="DZ72" s="94"/>
      <c r="EA72" s="94"/>
      <c r="EB72" s="94"/>
      <c r="EC72" s="94"/>
      <c r="ED72" s="87"/>
      <c r="EE72" s="83"/>
      <c r="EF72" s="83"/>
      <c r="EG72" s="82"/>
      <c r="EH72" s="82"/>
      <c r="EI72" s="74" t="str">
        <f t="shared" si="105"/>
        <v xml:space="preserve"> </v>
      </c>
      <c r="EJ72" s="92"/>
      <c r="EK72" s="92"/>
      <c r="EL72" s="92"/>
      <c r="EM72" s="92"/>
      <c r="EN72" s="89"/>
      <c r="EO72" s="67"/>
      <c r="EP72" s="67"/>
      <c r="EQ72" s="78"/>
      <c r="ER72" s="78"/>
      <c r="ES72" s="74" t="str">
        <f t="shared" si="106"/>
        <v xml:space="preserve"> </v>
      </c>
      <c r="ET72" s="94"/>
      <c r="EU72" s="94"/>
      <c r="EV72" s="94">
        <v>0</v>
      </c>
      <c r="EW72" s="76">
        <v>0</v>
      </c>
      <c r="EX72" s="87"/>
      <c r="EY72" s="83"/>
      <c r="EZ72" s="83"/>
      <c r="FA72" s="82"/>
      <c r="FB72" s="82"/>
      <c r="FC72" s="74" t="str">
        <f t="shared" si="115"/>
        <v xml:space="preserve"> </v>
      </c>
      <c r="FD72" s="92"/>
      <c r="FE72" s="92"/>
      <c r="FF72" s="92"/>
      <c r="FG72" s="92"/>
      <c r="FH72" s="76">
        <f t="shared" si="116"/>
        <v>0</v>
      </c>
      <c r="FI72" s="89"/>
      <c r="FJ72" s="67"/>
      <c r="FK72" s="67"/>
      <c r="FL72" s="78"/>
      <c r="FM72" s="78"/>
      <c r="FN72" s="74" t="str">
        <f t="shared" si="117"/>
        <v xml:space="preserve"> </v>
      </c>
      <c r="FO72" s="94"/>
      <c r="FP72" s="94"/>
      <c r="FQ72" s="94"/>
      <c r="FR72" s="94"/>
      <c r="FS72" s="76">
        <f t="shared" si="118"/>
        <v>0</v>
      </c>
      <c r="FT72" s="87"/>
      <c r="FU72" s="83"/>
      <c r="FV72" s="83"/>
      <c r="FW72" s="82"/>
      <c r="FX72" s="82"/>
      <c r="FY72" s="74" t="str">
        <f t="shared" si="119"/>
        <v xml:space="preserve"> </v>
      </c>
      <c r="FZ72" s="92"/>
      <c r="GA72" s="92"/>
      <c r="GB72" s="92"/>
      <c r="GC72" s="92"/>
      <c r="GD72" s="76">
        <f t="shared" si="120"/>
        <v>0</v>
      </c>
      <c r="GE72" s="62"/>
      <c r="GF72" s="96" t="s">
        <v>221</v>
      </c>
      <c r="GG72" s="96" t="s">
        <v>221</v>
      </c>
      <c r="GH72" s="63"/>
      <c r="GI72" s="63"/>
      <c r="GJ72" s="63"/>
      <c r="GK72" s="97">
        <f t="shared" si="84"/>
        <v>0</v>
      </c>
      <c r="GL72" s="98"/>
      <c r="GM72" s="98"/>
      <c r="GN72" s="97">
        <f t="shared" si="121"/>
        <v>0</v>
      </c>
      <c r="GO72" s="97" t="str">
        <f t="shared" si="122"/>
        <v xml:space="preserve"> </v>
      </c>
      <c r="GP72" s="62"/>
      <c r="GQ72" s="63"/>
      <c r="GR72" s="63"/>
      <c r="GS72" s="63"/>
      <c r="GT72" s="63"/>
      <c r="GU72" s="63"/>
      <c r="GV72" s="63"/>
      <c r="GW72" s="63"/>
      <c r="GX72" s="63"/>
      <c r="GY72" s="65" t="str">
        <f t="shared" si="138"/>
        <v/>
      </c>
      <c r="GZ72" s="65" t="str">
        <f t="shared" si="139"/>
        <v/>
      </c>
      <c r="HA72" s="63"/>
      <c r="HB72" s="63"/>
      <c r="HC72" s="63"/>
      <c r="HD72" s="63"/>
      <c r="HE72" s="63"/>
      <c r="HF72" s="63"/>
      <c r="HG72" s="63"/>
      <c r="HH72" s="63"/>
      <c r="HI72" s="63"/>
      <c r="HJ72" s="63"/>
      <c r="HK72" s="63"/>
      <c r="HL72" s="65" t="str">
        <f t="shared" si="140"/>
        <v/>
      </c>
      <c r="HM72" s="65" t="str">
        <f t="shared" si="124"/>
        <v/>
      </c>
      <c r="HN72" s="65" t="str">
        <f t="shared" si="141"/>
        <v/>
      </c>
      <c r="HO72" s="65" t="str">
        <f t="shared" si="142"/>
        <v/>
      </c>
      <c r="HP72" s="99" t="str">
        <f t="shared" si="130"/>
        <v/>
      </c>
      <c r="HQ72" s="99" t="str">
        <f t="shared" si="143"/>
        <v/>
      </c>
      <c r="HR72" s="63"/>
      <c r="HS72" s="63"/>
      <c r="HT72" s="63"/>
      <c r="HU72" s="63"/>
      <c r="HV72" s="63"/>
      <c r="HW72" s="63"/>
      <c r="HX72" s="63"/>
      <c r="HY72" s="63"/>
      <c r="HZ72" s="63"/>
      <c r="IA72" s="63"/>
      <c r="IB72" s="63"/>
      <c r="IC72" s="63"/>
      <c r="ID72" s="63"/>
      <c r="IE72" s="100"/>
      <c r="IF72" s="100"/>
      <c r="IG72" s="100"/>
      <c r="IH72" s="100"/>
      <c r="II72" s="100"/>
      <c r="IJ72" s="100"/>
      <c r="IK72" s="100"/>
      <c r="IL72" s="63"/>
      <c r="IM72" s="62"/>
      <c r="IN72" s="101"/>
      <c r="IO72" s="101"/>
      <c r="IP72" s="63"/>
      <c r="IQ72" s="63"/>
      <c r="IR72" s="63"/>
      <c r="IS72" s="63"/>
      <c r="IT72" s="63"/>
      <c r="IU72" s="63"/>
      <c r="IV72" s="63"/>
      <c r="IW72" s="63"/>
      <c r="IX72" s="63"/>
      <c r="IY72" s="63"/>
      <c r="IZ72" s="63"/>
      <c r="JA72" s="65">
        <f t="shared" si="107"/>
        <v>0</v>
      </c>
      <c r="JB72" s="63"/>
      <c r="JC72" s="101"/>
      <c r="JD72" s="101"/>
      <c r="JE72" s="63"/>
      <c r="JF72" s="63"/>
      <c r="JG72" s="63"/>
      <c r="JH72" s="63"/>
      <c r="JI72" s="63"/>
      <c r="JJ72" s="63"/>
      <c r="JK72" s="63"/>
      <c r="JL72" s="63"/>
      <c r="JM72" s="63"/>
      <c r="JN72" s="63"/>
      <c r="JO72" s="63"/>
      <c r="JP72" s="65">
        <f t="shared" si="133"/>
        <v>0</v>
      </c>
      <c r="JQ72" s="63"/>
      <c r="LM72" s="205"/>
      <c r="LN72" s="102">
        <f>IFERROR(ROWS($IL$8:IL72)," ")</f>
        <v>65</v>
      </c>
      <c r="LO72" s="103" t="str">
        <f>IFERROR(IF([1]Checklist!$C$3='GenInfo (2)'!E72,'GenInfo (2)'!LN72," ")," ")</f>
        <v xml:space="preserve"> </v>
      </c>
      <c r="LP72" s="104" t="str">
        <f>IFERROR(SMALL($LO$8:$LO$94,ROWS($IL$8:IL72))," ")</f>
        <v xml:space="preserve"> </v>
      </c>
      <c r="LQ72" s="102">
        <f>IFERROR(ROWS($IL$8:IL72)," ")</f>
        <v>65</v>
      </c>
      <c r="LR72" s="103" t="str">
        <f>IFERROR(IF([1]Checklist!$C$4='GenInfo (2)'!E72,'GenInfo (2)'!LQ72," ")," ")</f>
        <v xml:space="preserve"> </v>
      </c>
      <c r="LS72" s="104" t="str">
        <f>IFERROR(SMALL($LR$8:$LR$94,ROWS($IL$8:IL72))," ")</f>
        <v xml:space="preserve"> </v>
      </c>
      <c r="LT72" s="102">
        <f>IFERROR(ROWS($IL$8:IL72)," ")</f>
        <v>65</v>
      </c>
      <c r="LU72" s="103" t="str">
        <f>IFERROR(IF([1]Checklist!$C$5='GenInfo (2)'!E72,'GenInfo (2)'!LT72," ")," ")</f>
        <v xml:space="preserve"> </v>
      </c>
      <c r="LV72" s="104" t="str">
        <f>IFERROR(SMALL($LU$8:$LU$94,ROWS($IL$8:IL72))," ")</f>
        <v xml:space="preserve"> </v>
      </c>
      <c r="LW72" s="102">
        <f>IFERROR(ROWS($IL$8:IL72)," ")</f>
        <v>65</v>
      </c>
      <c r="LX72" s="103" t="str">
        <f>IFERROR(IF([1]Checklist!$C$6='GenInfo (2)'!E72,'GenInfo (2)'!LW72," ")," ")</f>
        <v xml:space="preserve"> </v>
      </c>
      <c r="LY72" s="104" t="str">
        <f>IFERROR(SMALL($LX$8:$LX$94,ROWS($IL$8:IL72))," ")</f>
        <v xml:space="preserve"> </v>
      </c>
      <c r="LZ72" s="102">
        <f>IFERROR(ROWS($IL$8:IL72)," ")</f>
        <v>65</v>
      </c>
      <c r="MA72" s="103" t="str">
        <f>IFERROR(IF([1]Checklist!$C$7='GenInfo (2)'!E72,'GenInfo (2)'!LZ72," ")," ")</f>
        <v xml:space="preserve"> </v>
      </c>
      <c r="MB72" s="104" t="str">
        <f>IFERROR(SMALL($MA$8:$MA$94,ROWS($IL$8:IL72))," ")</f>
        <v xml:space="preserve"> </v>
      </c>
      <c r="MC72" s="102">
        <f>IFERROR(ROWS($IL$8:IL72)," ")</f>
        <v>65</v>
      </c>
      <c r="MD72" s="103" t="str">
        <f>IFERROR(IF([1]Checklist!$C$8='GenInfo (2)'!E72,'GenInfo (2)'!MC72," ")," ")</f>
        <v xml:space="preserve"> </v>
      </c>
      <c r="ME72" s="104" t="str">
        <f>IFERROR(SMALL($MD$8:$MD$94,ROWS($IL$8:IL72))," ")</f>
        <v xml:space="preserve"> </v>
      </c>
      <c r="MF72" s="102">
        <f>IFERROR(ROWS($IL$8:IL72)," ")</f>
        <v>65</v>
      </c>
      <c r="MG72" s="103" t="str">
        <f>IFERROR(IF([1]Checklist!$C$9='GenInfo (2)'!E72,'GenInfo (2)'!MF72," ")," ")</f>
        <v xml:space="preserve"> </v>
      </c>
      <c r="MH72" s="104" t="str">
        <f>IFERROR(SMALL($MG$8:$MG$94,ROWS($IL$8:IL72))," ")</f>
        <v xml:space="preserve"> </v>
      </c>
      <c r="MI72" s="102">
        <f>IFERROR(ROWS($IL$8:$IL72)," ")</f>
        <v>65</v>
      </c>
      <c r="MJ72" s="103" t="str">
        <f>IFERROR(IF([1]Checklist!$C$10='GenInfo (2)'!E72,'GenInfo (2)'!MI72," ")," ")</f>
        <v xml:space="preserve"> </v>
      </c>
      <c r="MK72" s="104" t="str">
        <f>IFERROR(SMALL($MJ$8:$MJ$94,ROWS($IL$8:IL72))," ")</f>
        <v xml:space="preserve"> </v>
      </c>
      <c r="ML72" s="102">
        <f>IFERROR(ROWS($IL$8:IL72)," ")</f>
        <v>65</v>
      </c>
      <c r="MM72" s="103" t="str">
        <f>IFERROR(IF([1]Checklist!$C$11='GenInfo (2)'!E72,'GenInfo (2)'!ML72," ")," ")</f>
        <v xml:space="preserve"> </v>
      </c>
      <c r="MN72" s="104" t="str">
        <f>IFERROR(SMALL($MM$8:$MM$94,ROWS($IL$8:IL72))," ")</f>
        <v xml:space="preserve"> </v>
      </c>
      <c r="MO72" s="102">
        <f>IFERROR(ROWS($IL$8:IL72)," ")</f>
        <v>65</v>
      </c>
      <c r="MP72" s="103" t="str">
        <f>IFERROR(IF([1]Checklist!$C$12='GenInfo (2)'!E72,'GenInfo (2)'!MO72," ")," ")</f>
        <v xml:space="preserve"> </v>
      </c>
      <c r="MQ72" s="104" t="str">
        <f>IFERROR(SMALL($MP$8:$MP$94,ROWS($IL$8:IL72))," ")</f>
        <v xml:space="preserve"> </v>
      </c>
      <c r="MR72" s="102">
        <f>IFERROR(ROWS($IL$8:IL72)," ")</f>
        <v>65</v>
      </c>
      <c r="MS72" s="103" t="str">
        <f>IFERROR(IF([1]Checklist!$C$13='GenInfo (2)'!E72,'GenInfo (2)'!MR72," ")," ")</f>
        <v xml:space="preserve"> </v>
      </c>
      <c r="MT72" s="104" t="str">
        <f>IFERROR(SMALL($MS$8:$MS$94,ROWS($IL$8:IL72))," ")</f>
        <v xml:space="preserve"> </v>
      </c>
      <c r="MU72" s="102">
        <f>IFERROR(ROWS($IL$8:IL72)," ")</f>
        <v>65</v>
      </c>
      <c r="MV72" s="103" t="str">
        <f>IFERROR(IF([1]Checklist!$C$14='GenInfo (2)'!E72,'GenInfo (2)'!MU72," ")," ")</f>
        <v xml:space="preserve"> </v>
      </c>
      <c r="MW72" s="104" t="str">
        <f>IFERROR(SMALL($MV$8:$MV$94,ROWS($IL$8:IL72))," ")</f>
        <v xml:space="preserve"> </v>
      </c>
      <c r="MX72" s="102">
        <f>IFERROR(ROWS($IL$8:IL72)," ")</f>
        <v>65</v>
      </c>
      <c r="MY72" s="103" t="str">
        <f>IFERROR(IF([1]Checklist!$C$15='GenInfo (2)'!E72,'GenInfo (2)'!MX72," ")," ")</f>
        <v xml:space="preserve"> </v>
      </c>
      <c r="MZ72" s="104" t="str">
        <f>IFERROR(SMALL($MY$8:$MY$94,ROWS($IL$8:IL72))," ")</f>
        <v xml:space="preserve"> </v>
      </c>
      <c r="NA72" s="102">
        <f>IFERROR(ROWS($IL$8:IL72)," ")</f>
        <v>65</v>
      </c>
      <c r="NB72" s="103" t="str">
        <f>IFERROR(IF([1]Checklist!$C$16='GenInfo (2)'!E72,'GenInfo (2)'!NA72," ")," ")</f>
        <v xml:space="preserve"> </v>
      </c>
      <c r="NC72" s="104" t="str">
        <f>IFERROR(SMALL($NB$8:$NB$94,ROWS($IL$8:IL72))," ")</f>
        <v xml:space="preserve"> </v>
      </c>
      <c r="ND72" s="102">
        <f>IFERROR(ROWS($IL$8:IL72)," ")</f>
        <v>65</v>
      </c>
      <c r="NE72" s="103" t="str">
        <f>IFERROR(IF([1]Checklist!$C$17='GenInfo (2)'!E72,'GenInfo (2)'!ND72," ")," ")</f>
        <v xml:space="preserve"> </v>
      </c>
      <c r="NF72" s="104" t="str">
        <f>IFERROR(SMALL($NE$8:$NE$94,ROWS($IL$8:IL72))," ")</f>
        <v xml:space="preserve"> </v>
      </c>
    </row>
    <row r="73" spans="5:370" ht="14.25" x14ac:dyDescent="0.45">
      <c r="E73" s="64"/>
      <c r="F73" s="63"/>
      <c r="G73" s="64"/>
      <c r="H73" s="63"/>
      <c r="I73" s="63"/>
      <c r="J73" s="63"/>
      <c r="K73" s="62"/>
      <c r="L73" s="67"/>
      <c r="M73" s="67"/>
      <c r="N73" s="67"/>
      <c r="O73" s="68"/>
      <c r="P73" s="67"/>
      <c r="Q73" s="67"/>
      <c r="R73" s="63"/>
      <c r="S73" s="67"/>
      <c r="T73" s="63"/>
      <c r="U73" s="62"/>
      <c r="V73" s="63"/>
      <c r="W73" s="63"/>
      <c r="X73" s="69"/>
      <c r="Y73" s="63"/>
      <c r="Z73" s="69"/>
      <c r="AA73" s="62"/>
      <c r="AB73" s="63"/>
      <c r="AC73" s="63"/>
      <c r="AD73" s="63"/>
      <c r="AE73" s="63"/>
      <c r="AF73" s="63"/>
      <c r="AG73" s="63"/>
      <c r="AH73" s="63"/>
      <c r="AI73" s="63"/>
      <c r="AJ73" s="63"/>
      <c r="AK73" s="62"/>
      <c r="AL73" s="71">
        <f t="shared" si="95"/>
        <v>0</v>
      </c>
      <c r="AM73" s="71">
        <f t="shared" ca="1" si="137"/>
        <v>122</v>
      </c>
      <c r="AN73" s="63"/>
      <c r="AO73" s="72" t="str">
        <f t="shared" ca="1" si="97"/>
        <v/>
      </c>
      <c r="AP73" s="63"/>
      <c r="AQ73" s="73"/>
      <c r="AR73" s="70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2"/>
      <c r="BE73" s="71">
        <f t="shared" si="144"/>
        <v>0</v>
      </c>
      <c r="BF73" s="71">
        <f t="shared" si="144"/>
        <v>0</v>
      </c>
      <c r="BG73" s="71">
        <f t="shared" si="99"/>
        <v>0</v>
      </c>
      <c r="BH73" s="74" t="str">
        <f t="shared" si="100"/>
        <v xml:space="preserve"> </v>
      </c>
      <c r="BI73" s="75" t="str">
        <f t="shared" si="101"/>
        <v xml:space="preserve"> </v>
      </c>
      <c r="BJ73" s="71">
        <f t="shared" si="102"/>
        <v>0</v>
      </c>
      <c r="BK73" s="75" t="str">
        <f t="shared" si="103"/>
        <v xml:space="preserve"> </v>
      </c>
      <c r="BL73" s="76">
        <f t="shared" si="145"/>
        <v>0</v>
      </c>
      <c r="BM73" s="77">
        <f t="shared" si="145"/>
        <v>0</v>
      </c>
      <c r="BN73" s="78"/>
      <c r="BO73" s="67"/>
      <c r="BP73" s="67"/>
      <c r="BQ73" s="63"/>
      <c r="BR73" s="63"/>
      <c r="BS73" s="74" t="str">
        <f t="shared" si="108"/>
        <v xml:space="preserve"> </v>
      </c>
      <c r="BT73" s="79" t="s">
        <v>221</v>
      </c>
      <c r="BU73" s="79" t="s">
        <v>221</v>
      </c>
      <c r="BV73" s="80">
        <v>0</v>
      </c>
      <c r="BW73" s="81">
        <v>0</v>
      </c>
      <c r="BX73" s="82"/>
      <c r="BY73" s="83"/>
      <c r="BZ73" s="83"/>
      <c r="CA73" s="84"/>
      <c r="CB73" s="84"/>
      <c r="CC73" s="74" t="str">
        <f t="shared" si="109"/>
        <v xml:space="preserve"> </v>
      </c>
      <c r="CD73" s="79" t="s">
        <v>221</v>
      </c>
      <c r="CE73" s="81">
        <v>0</v>
      </c>
      <c r="CF73" s="85"/>
      <c r="CG73" s="85"/>
      <c r="CH73" s="85"/>
      <c r="CI73" s="78"/>
      <c r="CJ73" s="78"/>
      <c r="CK73" s="74" t="str">
        <f t="shared" si="110"/>
        <v xml:space="preserve"> </v>
      </c>
      <c r="CL73" s="79" t="s">
        <v>221</v>
      </c>
      <c r="CM73" s="79" t="s">
        <v>221</v>
      </c>
      <c r="CN73" s="86" t="s">
        <v>221</v>
      </c>
      <c r="CO73" s="81">
        <v>0</v>
      </c>
      <c r="CP73" s="87"/>
      <c r="CQ73" s="83"/>
      <c r="CR73" s="83"/>
      <c r="CS73" s="82"/>
      <c r="CT73" s="82"/>
      <c r="CU73" s="74" t="str">
        <f t="shared" si="111"/>
        <v xml:space="preserve"> </v>
      </c>
      <c r="CV73" s="79" t="s">
        <v>221</v>
      </c>
      <c r="CW73" s="79" t="s">
        <v>221</v>
      </c>
      <c r="CX73" s="88" t="s">
        <v>221</v>
      </c>
      <c r="CY73" s="81">
        <v>0</v>
      </c>
      <c r="CZ73" s="89"/>
      <c r="DA73" s="67"/>
      <c r="DB73" s="67"/>
      <c r="DC73" s="78"/>
      <c r="DD73" s="78"/>
      <c r="DE73" s="74" t="str">
        <f t="shared" si="112"/>
        <v xml:space="preserve"> </v>
      </c>
      <c r="DF73" s="79" t="s">
        <v>221</v>
      </c>
      <c r="DG73" s="79" t="s">
        <v>221</v>
      </c>
      <c r="DH73" s="79" t="s">
        <v>221</v>
      </c>
      <c r="DI73" s="81">
        <v>0</v>
      </c>
      <c r="DJ73" s="87"/>
      <c r="DK73" s="83"/>
      <c r="DL73" s="83"/>
      <c r="DM73" s="82"/>
      <c r="DN73" s="82"/>
      <c r="DO73" s="74" t="str">
        <f t="shared" si="113"/>
        <v xml:space="preserve"> </v>
      </c>
      <c r="DP73" s="79" t="s">
        <v>221</v>
      </c>
      <c r="DQ73" s="79" t="s">
        <v>221</v>
      </c>
      <c r="DR73" s="79" t="s">
        <v>221</v>
      </c>
      <c r="DS73" s="81">
        <v>0</v>
      </c>
      <c r="DT73" s="89"/>
      <c r="DU73" s="67"/>
      <c r="DV73" s="67"/>
      <c r="DW73" s="78"/>
      <c r="DX73" s="78"/>
      <c r="DY73" s="74" t="str">
        <f t="shared" si="114"/>
        <v xml:space="preserve"> </v>
      </c>
      <c r="DZ73" s="94"/>
      <c r="EA73" s="94"/>
      <c r="EB73" s="94"/>
      <c r="EC73" s="94"/>
      <c r="ED73" s="87"/>
      <c r="EE73" s="83"/>
      <c r="EF73" s="83"/>
      <c r="EG73" s="82"/>
      <c r="EH73" s="82"/>
      <c r="EI73" s="74" t="str">
        <f t="shared" si="105"/>
        <v xml:space="preserve"> </v>
      </c>
      <c r="EJ73" s="92"/>
      <c r="EK73" s="92"/>
      <c r="EL73" s="92"/>
      <c r="EM73" s="92"/>
      <c r="EN73" s="89"/>
      <c r="EO73" s="67"/>
      <c r="EP73" s="67"/>
      <c r="EQ73" s="78"/>
      <c r="ER73" s="78"/>
      <c r="ES73" s="74" t="str">
        <f t="shared" si="106"/>
        <v xml:space="preserve"> </v>
      </c>
      <c r="ET73" s="94"/>
      <c r="EU73" s="94"/>
      <c r="EV73" s="94">
        <v>0</v>
      </c>
      <c r="EW73" s="76">
        <v>0</v>
      </c>
      <c r="EX73" s="87"/>
      <c r="EY73" s="83"/>
      <c r="EZ73" s="83"/>
      <c r="FA73" s="82"/>
      <c r="FB73" s="82"/>
      <c r="FC73" s="74" t="str">
        <f t="shared" si="115"/>
        <v xml:space="preserve"> </v>
      </c>
      <c r="FD73" s="92"/>
      <c r="FE73" s="92"/>
      <c r="FF73" s="92"/>
      <c r="FG73" s="92"/>
      <c r="FH73" s="76">
        <f t="shared" si="116"/>
        <v>0</v>
      </c>
      <c r="FI73" s="89"/>
      <c r="FJ73" s="67"/>
      <c r="FK73" s="67"/>
      <c r="FL73" s="78"/>
      <c r="FM73" s="78"/>
      <c r="FN73" s="74" t="str">
        <f t="shared" si="117"/>
        <v xml:space="preserve"> </v>
      </c>
      <c r="FO73" s="94"/>
      <c r="FP73" s="94"/>
      <c r="FQ73" s="94"/>
      <c r="FR73" s="94"/>
      <c r="FS73" s="76">
        <f t="shared" si="118"/>
        <v>0</v>
      </c>
      <c r="FT73" s="87"/>
      <c r="FU73" s="83"/>
      <c r="FV73" s="83"/>
      <c r="FW73" s="82"/>
      <c r="FX73" s="82"/>
      <c r="FY73" s="74" t="str">
        <f t="shared" si="119"/>
        <v xml:space="preserve"> </v>
      </c>
      <c r="FZ73" s="92"/>
      <c r="GA73" s="92"/>
      <c r="GB73" s="92"/>
      <c r="GC73" s="92"/>
      <c r="GD73" s="76">
        <f t="shared" si="120"/>
        <v>0</v>
      </c>
      <c r="GE73" s="62"/>
      <c r="GF73" s="96" t="s">
        <v>221</v>
      </c>
      <c r="GG73" s="96" t="s">
        <v>221</v>
      </c>
      <c r="GH73" s="63"/>
      <c r="GI73" s="63"/>
      <c r="GJ73" s="63"/>
      <c r="GK73" s="97">
        <f t="shared" si="84"/>
        <v>0</v>
      </c>
      <c r="GL73" s="98"/>
      <c r="GM73" s="98"/>
      <c r="GN73" s="97">
        <f t="shared" si="121"/>
        <v>0</v>
      </c>
      <c r="GO73" s="97" t="str">
        <f t="shared" si="122"/>
        <v xml:space="preserve"> </v>
      </c>
      <c r="GP73" s="62"/>
      <c r="GQ73" s="63"/>
      <c r="GR73" s="63"/>
      <c r="GS73" s="63"/>
      <c r="GT73" s="63"/>
      <c r="GU73" s="63"/>
      <c r="GV73" s="63"/>
      <c r="GW73" s="63"/>
      <c r="GX73" s="63"/>
      <c r="GY73" s="65" t="str">
        <f t="shared" si="138"/>
        <v/>
      </c>
      <c r="GZ73" s="65" t="str">
        <f t="shared" si="139"/>
        <v/>
      </c>
      <c r="HA73" s="63"/>
      <c r="HB73" s="63"/>
      <c r="HC73" s="63"/>
      <c r="HD73" s="63"/>
      <c r="HE73" s="63"/>
      <c r="HF73" s="63"/>
      <c r="HG73" s="63"/>
      <c r="HH73" s="63"/>
      <c r="HI73" s="63"/>
      <c r="HJ73" s="63"/>
      <c r="HK73" s="63"/>
      <c r="HL73" s="65" t="str">
        <f t="shared" si="140"/>
        <v/>
      </c>
      <c r="HM73" s="65" t="str">
        <f t="shared" si="124"/>
        <v/>
      </c>
      <c r="HN73" s="65" t="str">
        <f t="shared" si="141"/>
        <v/>
      </c>
      <c r="HO73" s="65" t="str">
        <f t="shared" si="142"/>
        <v/>
      </c>
      <c r="HP73" s="99" t="str">
        <f t="shared" si="130"/>
        <v/>
      </c>
      <c r="HQ73" s="99" t="str">
        <f t="shared" si="143"/>
        <v/>
      </c>
      <c r="HR73" s="63"/>
      <c r="HS73" s="63"/>
      <c r="HT73" s="63"/>
      <c r="HU73" s="63"/>
      <c r="HV73" s="63"/>
      <c r="HW73" s="63"/>
      <c r="HX73" s="63"/>
      <c r="HY73" s="63"/>
      <c r="HZ73" s="63"/>
      <c r="IA73" s="63"/>
      <c r="IB73" s="63"/>
      <c r="IC73" s="63"/>
      <c r="ID73" s="63"/>
      <c r="IE73" s="100"/>
      <c r="IF73" s="100"/>
      <c r="IG73" s="100"/>
      <c r="IH73" s="100"/>
      <c r="II73" s="100"/>
      <c r="IJ73" s="100"/>
      <c r="IK73" s="100"/>
      <c r="IL73" s="63"/>
      <c r="IM73" s="62"/>
      <c r="IN73" s="101"/>
      <c r="IO73" s="101"/>
      <c r="IP73" s="63"/>
      <c r="IQ73" s="63"/>
      <c r="IR73" s="63"/>
      <c r="IS73" s="63"/>
      <c r="IT73" s="63"/>
      <c r="IU73" s="63"/>
      <c r="IV73" s="63"/>
      <c r="IW73" s="63"/>
      <c r="IX73" s="63"/>
      <c r="IY73" s="63"/>
      <c r="IZ73" s="63"/>
      <c r="JA73" s="65">
        <f t="shared" si="107"/>
        <v>0</v>
      </c>
      <c r="JB73" s="63"/>
      <c r="JC73" s="101"/>
      <c r="JD73" s="101"/>
      <c r="JE73" s="63"/>
      <c r="JF73" s="63"/>
      <c r="JG73" s="63"/>
      <c r="JH73" s="63"/>
      <c r="JI73" s="63"/>
      <c r="JJ73" s="63"/>
      <c r="JK73" s="63"/>
      <c r="JL73" s="63"/>
      <c r="JM73" s="63"/>
      <c r="JN73" s="63"/>
      <c r="JO73" s="63"/>
      <c r="JP73" s="65">
        <f t="shared" si="133"/>
        <v>0</v>
      </c>
      <c r="JQ73" s="63"/>
      <c r="LM73" s="205"/>
      <c r="LN73" s="102">
        <f>IFERROR(ROWS($IL$8:IL73)," ")</f>
        <v>66</v>
      </c>
      <c r="LO73" s="103" t="str">
        <f>IFERROR(IF([1]Checklist!$C$3='GenInfo (2)'!E73,'GenInfo (2)'!LN73," ")," ")</f>
        <v xml:space="preserve"> </v>
      </c>
      <c r="LP73" s="104" t="str">
        <f>IFERROR(SMALL($LO$8:$LO$94,ROWS($IL$8:IL73))," ")</f>
        <v xml:space="preserve"> </v>
      </c>
      <c r="LQ73" s="102">
        <f>IFERROR(ROWS($IL$8:IL73)," ")</f>
        <v>66</v>
      </c>
      <c r="LR73" s="103" t="str">
        <f>IFERROR(IF([1]Checklist!$C$4='GenInfo (2)'!E73,'GenInfo (2)'!LQ73," ")," ")</f>
        <v xml:space="preserve"> </v>
      </c>
      <c r="LS73" s="104" t="str">
        <f>IFERROR(SMALL($LR$8:$LR$94,ROWS($IL$8:IL73))," ")</f>
        <v xml:space="preserve"> </v>
      </c>
      <c r="LT73" s="102">
        <f>IFERROR(ROWS($IL$8:IL73)," ")</f>
        <v>66</v>
      </c>
      <c r="LU73" s="103" t="str">
        <f>IFERROR(IF([1]Checklist!$C$5='GenInfo (2)'!E73,'GenInfo (2)'!LT73," ")," ")</f>
        <v xml:space="preserve"> </v>
      </c>
      <c r="LV73" s="104" t="str">
        <f>IFERROR(SMALL($LU$8:$LU$94,ROWS($IL$8:IL73))," ")</f>
        <v xml:space="preserve"> </v>
      </c>
      <c r="LW73" s="102">
        <f>IFERROR(ROWS($IL$8:IL73)," ")</f>
        <v>66</v>
      </c>
      <c r="LX73" s="103" t="str">
        <f>IFERROR(IF([1]Checklist!$C$6='GenInfo (2)'!E73,'GenInfo (2)'!LW73," ")," ")</f>
        <v xml:space="preserve"> </v>
      </c>
      <c r="LY73" s="104" t="str">
        <f>IFERROR(SMALL($LX$8:$LX$94,ROWS($IL$8:IL73))," ")</f>
        <v xml:space="preserve"> </v>
      </c>
      <c r="LZ73" s="102">
        <f>IFERROR(ROWS($IL$8:IL73)," ")</f>
        <v>66</v>
      </c>
      <c r="MA73" s="103" t="str">
        <f>IFERROR(IF([1]Checklist!$C$7='GenInfo (2)'!E73,'GenInfo (2)'!LZ73," ")," ")</f>
        <v xml:space="preserve"> </v>
      </c>
      <c r="MB73" s="104" t="str">
        <f>IFERROR(SMALL($MA$8:$MA$94,ROWS($IL$8:IL73))," ")</f>
        <v xml:space="preserve"> </v>
      </c>
      <c r="MC73" s="102">
        <f>IFERROR(ROWS($IL$8:IL73)," ")</f>
        <v>66</v>
      </c>
      <c r="MD73" s="103" t="str">
        <f>IFERROR(IF([1]Checklist!$C$8='GenInfo (2)'!E73,'GenInfo (2)'!MC73," ")," ")</f>
        <v xml:space="preserve"> </v>
      </c>
      <c r="ME73" s="104" t="str">
        <f>IFERROR(SMALL($MD$8:$MD$94,ROWS($IL$8:IL73))," ")</f>
        <v xml:space="preserve"> </v>
      </c>
      <c r="MF73" s="102">
        <f>IFERROR(ROWS($IL$8:IL73)," ")</f>
        <v>66</v>
      </c>
      <c r="MG73" s="103" t="str">
        <f>IFERROR(IF([1]Checklist!$C$9='GenInfo (2)'!E73,'GenInfo (2)'!MF73," ")," ")</f>
        <v xml:space="preserve"> </v>
      </c>
      <c r="MH73" s="104" t="str">
        <f>IFERROR(SMALL($MG$8:$MG$94,ROWS($IL$8:IL73))," ")</f>
        <v xml:space="preserve"> </v>
      </c>
      <c r="MI73" s="102">
        <f>IFERROR(ROWS($IL$8:$IL73)," ")</f>
        <v>66</v>
      </c>
      <c r="MJ73" s="103" t="str">
        <f>IFERROR(IF([1]Checklist!$C$10='GenInfo (2)'!E73,'GenInfo (2)'!MI73," ")," ")</f>
        <v xml:space="preserve"> </v>
      </c>
      <c r="MK73" s="104" t="str">
        <f>IFERROR(SMALL($MJ$8:$MJ$94,ROWS($IL$8:IL73))," ")</f>
        <v xml:space="preserve"> </v>
      </c>
      <c r="ML73" s="102">
        <f>IFERROR(ROWS($IL$8:IL73)," ")</f>
        <v>66</v>
      </c>
      <c r="MM73" s="103" t="str">
        <f>IFERROR(IF([1]Checklist!$C$11='GenInfo (2)'!E73,'GenInfo (2)'!ML73," ")," ")</f>
        <v xml:space="preserve"> </v>
      </c>
      <c r="MN73" s="104" t="str">
        <f>IFERROR(SMALL($MM$8:$MM$94,ROWS($IL$8:IL73))," ")</f>
        <v xml:space="preserve"> </v>
      </c>
      <c r="MO73" s="102">
        <f>IFERROR(ROWS($IL$8:IL73)," ")</f>
        <v>66</v>
      </c>
      <c r="MP73" s="103" t="str">
        <f>IFERROR(IF([1]Checklist!$C$12='GenInfo (2)'!E73,'GenInfo (2)'!MO73," ")," ")</f>
        <v xml:space="preserve"> </v>
      </c>
      <c r="MQ73" s="104" t="str">
        <f>IFERROR(SMALL($MP$8:$MP$94,ROWS($IL$8:IL73))," ")</f>
        <v xml:space="preserve"> </v>
      </c>
      <c r="MR73" s="102">
        <f>IFERROR(ROWS($IL$8:IL73)," ")</f>
        <v>66</v>
      </c>
      <c r="MS73" s="103" t="str">
        <f>IFERROR(IF([1]Checklist!$C$13='GenInfo (2)'!E73,'GenInfo (2)'!MR73," ")," ")</f>
        <v xml:space="preserve"> </v>
      </c>
      <c r="MT73" s="104" t="str">
        <f>IFERROR(SMALL($MS$8:$MS$94,ROWS($IL$8:IL73))," ")</f>
        <v xml:space="preserve"> </v>
      </c>
      <c r="MU73" s="102">
        <f>IFERROR(ROWS($IL$8:IL73)," ")</f>
        <v>66</v>
      </c>
      <c r="MV73" s="103" t="str">
        <f>IFERROR(IF([1]Checklist!$C$14='GenInfo (2)'!E73,'GenInfo (2)'!MU73," ")," ")</f>
        <v xml:space="preserve"> </v>
      </c>
      <c r="MW73" s="104" t="str">
        <f>IFERROR(SMALL($MV$8:$MV$94,ROWS($IL$8:IL73))," ")</f>
        <v xml:space="preserve"> </v>
      </c>
      <c r="MX73" s="102">
        <f>IFERROR(ROWS($IL$8:IL73)," ")</f>
        <v>66</v>
      </c>
      <c r="MY73" s="103" t="str">
        <f>IFERROR(IF([1]Checklist!$C$15='GenInfo (2)'!E73,'GenInfo (2)'!MX73," ")," ")</f>
        <v xml:space="preserve"> </v>
      </c>
      <c r="MZ73" s="104" t="str">
        <f>IFERROR(SMALL($MY$8:$MY$94,ROWS($IL$8:IL73))," ")</f>
        <v xml:space="preserve"> </v>
      </c>
      <c r="NA73" s="102">
        <f>IFERROR(ROWS($IL$8:IL73)," ")</f>
        <v>66</v>
      </c>
      <c r="NB73" s="103" t="str">
        <f>IFERROR(IF([1]Checklist!$C$16='GenInfo (2)'!E73,'GenInfo (2)'!NA73," ")," ")</f>
        <v xml:space="preserve"> </v>
      </c>
      <c r="NC73" s="104" t="str">
        <f>IFERROR(SMALL($NB$8:$NB$94,ROWS($IL$8:IL73))," ")</f>
        <v xml:space="preserve"> </v>
      </c>
      <c r="ND73" s="102">
        <f>IFERROR(ROWS($IL$8:IL73)," ")</f>
        <v>66</v>
      </c>
      <c r="NE73" s="103" t="str">
        <f>IFERROR(IF([1]Checklist!$C$17='GenInfo (2)'!E73,'GenInfo (2)'!ND73," ")," ")</f>
        <v xml:space="preserve"> </v>
      </c>
      <c r="NF73" s="104" t="str">
        <f>IFERROR(SMALL($NE$8:$NE$94,ROWS($IL$8:IL73))," ")</f>
        <v xml:space="preserve"> </v>
      </c>
    </row>
    <row r="74" spans="5:370" ht="14.25" x14ac:dyDescent="0.45">
      <c r="E74" s="64"/>
      <c r="F74" s="63"/>
      <c r="G74" s="64"/>
      <c r="H74" s="63"/>
      <c r="I74" s="63"/>
      <c r="J74" s="63"/>
      <c r="K74" s="62"/>
      <c r="L74" s="67"/>
      <c r="M74" s="67"/>
      <c r="N74" s="67"/>
      <c r="O74" s="68"/>
      <c r="P74" s="67"/>
      <c r="Q74" s="67"/>
      <c r="R74" s="63"/>
      <c r="S74" s="67"/>
      <c r="T74" s="63"/>
      <c r="U74" s="62"/>
      <c r="V74" s="63"/>
      <c r="W74" s="63"/>
      <c r="X74" s="69"/>
      <c r="Y74" s="63"/>
      <c r="Z74" s="69"/>
      <c r="AA74" s="62"/>
      <c r="AB74" s="63"/>
      <c r="AC74" s="63"/>
      <c r="AD74" s="63"/>
      <c r="AE74" s="63"/>
      <c r="AF74" s="63"/>
      <c r="AG74" s="63"/>
      <c r="AH74" s="63"/>
      <c r="AI74" s="63"/>
      <c r="AJ74" s="63"/>
      <c r="AK74" s="62"/>
      <c r="AL74" s="71">
        <f t="shared" si="95"/>
        <v>0</v>
      </c>
      <c r="AM74" s="71">
        <f t="shared" ca="1" si="137"/>
        <v>122</v>
      </c>
      <c r="AN74" s="63"/>
      <c r="AO74" s="72" t="str">
        <f t="shared" ca="1" si="97"/>
        <v/>
      </c>
      <c r="AP74" s="63"/>
      <c r="AQ74" s="73"/>
      <c r="AR74" s="70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2"/>
      <c r="BE74" s="71">
        <f t="shared" si="144"/>
        <v>0</v>
      </c>
      <c r="BF74" s="71">
        <f t="shared" si="144"/>
        <v>0</v>
      </c>
      <c r="BG74" s="71">
        <f t="shared" si="99"/>
        <v>0</v>
      </c>
      <c r="BH74" s="74" t="str">
        <f t="shared" si="100"/>
        <v xml:space="preserve"> </v>
      </c>
      <c r="BI74" s="75" t="str">
        <f t="shared" si="101"/>
        <v xml:space="preserve"> </v>
      </c>
      <c r="BJ74" s="71">
        <f t="shared" si="102"/>
        <v>0</v>
      </c>
      <c r="BK74" s="75" t="str">
        <f t="shared" si="103"/>
        <v xml:space="preserve"> </v>
      </c>
      <c r="BL74" s="76">
        <f t="shared" si="145"/>
        <v>0</v>
      </c>
      <c r="BM74" s="77">
        <f t="shared" si="145"/>
        <v>0</v>
      </c>
      <c r="BN74" s="78"/>
      <c r="BO74" s="67"/>
      <c r="BP74" s="67"/>
      <c r="BQ74" s="63"/>
      <c r="BR74" s="63"/>
      <c r="BS74" s="74" t="str">
        <f t="shared" si="108"/>
        <v xml:space="preserve"> </v>
      </c>
      <c r="BT74" s="79" t="s">
        <v>221</v>
      </c>
      <c r="BU74" s="79" t="s">
        <v>221</v>
      </c>
      <c r="BV74" s="80">
        <v>0</v>
      </c>
      <c r="BW74" s="81">
        <v>0</v>
      </c>
      <c r="BX74" s="82"/>
      <c r="BY74" s="83"/>
      <c r="BZ74" s="83"/>
      <c r="CA74" s="84"/>
      <c r="CB74" s="84"/>
      <c r="CC74" s="74" t="str">
        <f t="shared" si="109"/>
        <v xml:space="preserve"> </v>
      </c>
      <c r="CD74" s="79" t="s">
        <v>221</v>
      </c>
      <c r="CE74" s="81">
        <v>0</v>
      </c>
      <c r="CF74" s="85"/>
      <c r="CG74" s="85"/>
      <c r="CH74" s="85"/>
      <c r="CI74" s="78"/>
      <c r="CJ74" s="78"/>
      <c r="CK74" s="74" t="str">
        <f t="shared" si="110"/>
        <v xml:space="preserve"> </v>
      </c>
      <c r="CL74" s="79" t="s">
        <v>221</v>
      </c>
      <c r="CM74" s="79" t="s">
        <v>221</v>
      </c>
      <c r="CN74" s="86" t="s">
        <v>221</v>
      </c>
      <c r="CO74" s="81">
        <v>0</v>
      </c>
      <c r="CP74" s="87"/>
      <c r="CQ74" s="83"/>
      <c r="CR74" s="83"/>
      <c r="CS74" s="82"/>
      <c r="CT74" s="82"/>
      <c r="CU74" s="74" t="str">
        <f t="shared" si="111"/>
        <v xml:space="preserve"> </v>
      </c>
      <c r="CV74" s="79" t="s">
        <v>221</v>
      </c>
      <c r="CW74" s="79" t="s">
        <v>221</v>
      </c>
      <c r="CX74" s="88" t="s">
        <v>221</v>
      </c>
      <c r="CY74" s="81">
        <v>0</v>
      </c>
      <c r="CZ74" s="89"/>
      <c r="DA74" s="67"/>
      <c r="DB74" s="67"/>
      <c r="DC74" s="78"/>
      <c r="DD74" s="78"/>
      <c r="DE74" s="74" t="str">
        <f t="shared" si="112"/>
        <v xml:space="preserve"> </v>
      </c>
      <c r="DF74" s="79" t="s">
        <v>221</v>
      </c>
      <c r="DG74" s="79" t="s">
        <v>221</v>
      </c>
      <c r="DH74" s="79" t="s">
        <v>221</v>
      </c>
      <c r="DI74" s="81">
        <v>0</v>
      </c>
      <c r="DJ74" s="87"/>
      <c r="DK74" s="83"/>
      <c r="DL74" s="83"/>
      <c r="DM74" s="82"/>
      <c r="DN74" s="82"/>
      <c r="DO74" s="74" t="str">
        <f t="shared" si="113"/>
        <v xml:space="preserve"> </v>
      </c>
      <c r="DP74" s="79" t="s">
        <v>221</v>
      </c>
      <c r="DQ74" s="79" t="s">
        <v>221</v>
      </c>
      <c r="DR74" s="79" t="s">
        <v>221</v>
      </c>
      <c r="DS74" s="81">
        <v>0</v>
      </c>
      <c r="DT74" s="89"/>
      <c r="DU74" s="67"/>
      <c r="DV74" s="67"/>
      <c r="DW74" s="78"/>
      <c r="DX74" s="78"/>
      <c r="DY74" s="74" t="str">
        <f t="shared" si="114"/>
        <v xml:space="preserve"> </v>
      </c>
      <c r="DZ74" s="94"/>
      <c r="EA74" s="94"/>
      <c r="EB74" s="94"/>
      <c r="EC74" s="94"/>
      <c r="ED74" s="87"/>
      <c r="EE74" s="83"/>
      <c r="EF74" s="83"/>
      <c r="EG74" s="82"/>
      <c r="EH74" s="82"/>
      <c r="EI74" s="74" t="str">
        <f t="shared" si="105"/>
        <v xml:space="preserve"> </v>
      </c>
      <c r="EJ74" s="92"/>
      <c r="EK74" s="92"/>
      <c r="EL74" s="92"/>
      <c r="EM74" s="92"/>
      <c r="EN74" s="89"/>
      <c r="EO74" s="67"/>
      <c r="EP74" s="67"/>
      <c r="EQ74" s="78"/>
      <c r="ER74" s="78"/>
      <c r="ES74" s="74" t="str">
        <f t="shared" si="106"/>
        <v xml:space="preserve"> </v>
      </c>
      <c r="ET74" s="94"/>
      <c r="EU74" s="94"/>
      <c r="EV74" s="94">
        <v>0</v>
      </c>
      <c r="EW74" s="76">
        <v>0</v>
      </c>
      <c r="EX74" s="87"/>
      <c r="EY74" s="83"/>
      <c r="EZ74" s="83"/>
      <c r="FA74" s="82"/>
      <c r="FB74" s="82"/>
      <c r="FC74" s="74" t="str">
        <f t="shared" si="115"/>
        <v xml:space="preserve"> </v>
      </c>
      <c r="FD74" s="92"/>
      <c r="FE74" s="92"/>
      <c r="FF74" s="92"/>
      <c r="FG74" s="92"/>
      <c r="FH74" s="76">
        <f t="shared" si="116"/>
        <v>0</v>
      </c>
      <c r="FI74" s="89"/>
      <c r="FJ74" s="67"/>
      <c r="FK74" s="67"/>
      <c r="FL74" s="78"/>
      <c r="FM74" s="78"/>
      <c r="FN74" s="74" t="str">
        <f t="shared" si="117"/>
        <v xml:space="preserve"> </v>
      </c>
      <c r="FO74" s="94"/>
      <c r="FP74" s="94"/>
      <c r="FQ74" s="94"/>
      <c r="FR74" s="94"/>
      <c r="FS74" s="76">
        <f t="shared" si="118"/>
        <v>0</v>
      </c>
      <c r="FT74" s="87"/>
      <c r="FU74" s="83"/>
      <c r="FV74" s="83"/>
      <c r="FW74" s="82"/>
      <c r="FX74" s="82"/>
      <c r="FY74" s="74" t="str">
        <f t="shared" si="119"/>
        <v xml:space="preserve"> </v>
      </c>
      <c r="FZ74" s="92"/>
      <c r="GA74" s="92"/>
      <c r="GB74" s="92"/>
      <c r="GC74" s="92"/>
      <c r="GD74" s="76">
        <f t="shared" si="120"/>
        <v>0</v>
      </c>
      <c r="GE74" s="62"/>
      <c r="GF74" s="96" t="s">
        <v>221</v>
      </c>
      <c r="GG74" s="96" t="s">
        <v>221</v>
      </c>
      <c r="GH74" s="63"/>
      <c r="GI74" s="63"/>
      <c r="GJ74" s="63"/>
      <c r="GK74" s="97">
        <f t="shared" si="84"/>
        <v>0</v>
      </c>
      <c r="GL74" s="98"/>
      <c r="GM74" s="98"/>
      <c r="GN74" s="97">
        <f t="shared" si="121"/>
        <v>0</v>
      </c>
      <c r="GO74" s="97" t="str">
        <f t="shared" si="122"/>
        <v xml:space="preserve"> </v>
      </c>
      <c r="GP74" s="62"/>
      <c r="GQ74" s="63"/>
      <c r="GR74" s="63"/>
      <c r="GS74" s="63"/>
      <c r="GT74" s="63"/>
      <c r="GU74" s="63"/>
      <c r="GV74" s="63"/>
      <c r="GW74" s="63"/>
      <c r="GX74" s="63"/>
      <c r="GY74" s="65" t="str">
        <f t="shared" si="138"/>
        <v/>
      </c>
      <c r="GZ74" s="65" t="str">
        <f t="shared" si="139"/>
        <v/>
      </c>
      <c r="HA74" s="63"/>
      <c r="HB74" s="63"/>
      <c r="HC74" s="63"/>
      <c r="HD74" s="63"/>
      <c r="HE74" s="63"/>
      <c r="HF74" s="63"/>
      <c r="HG74" s="63"/>
      <c r="HH74" s="63"/>
      <c r="HI74" s="63"/>
      <c r="HJ74" s="63"/>
      <c r="HK74" s="63"/>
      <c r="HL74" s="65" t="str">
        <f t="shared" si="140"/>
        <v/>
      </c>
      <c r="HM74" s="65" t="str">
        <f t="shared" si="124"/>
        <v/>
      </c>
      <c r="HN74" s="65" t="str">
        <f t="shared" si="141"/>
        <v/>
      </c>
      <c r="HO74" s="65" t="str">
        <f t="shared" si="142"/>
        <v/>
      </c>
      <c r="HP74" s="99" t="str">
        <f t="shared" si="130"/>
        <v/>
      </c>
      <c r="HQ74" s="99" t="str">
        <f t="shared" si="143"/>
        <v/>
      </c>
      <c r="HR74" s="63"/>
      <c r="HS74" s="63"/>
      <c r="HT74" s="63"/>
      <c r="HU74" s="63"/>
      <c r="HV74" s="63"/>
      <c r="HW74" s="63"/>
      <c r="HX74" s="63"/>
      <c r="HY74" s="63"/>
      <c r="HZ74" s="63"/>
      <c r="IA74" s="63"/>
      <c r="IB74" s="63"/>
      <c r="IC74" s="63"/>
      <c r="ID74" s="63"/>
      <c r="IE74" s="100"/>
      <c r="IF74" s="100"/>
      <c r="IG74" s="100"/>
      <c r="IH74" s="100"/>
      <c r="II74" s="100"/>
      <c r="IJ74" s="100"/>
      <c r="IK74" s="100"/>
      <c r="IL74" s="63"/>
      <c r="IM74" s="62"/>
      <c r="IN74" s="101"/>
      <c r="IO74" s="101"/>
      <c r="IP74" s="63"/>
      <c r="IQ74" s="63"/>
      <c r="IR74" s="63"/>
      <c r="IS74" s="63"/>
      <c r="IT74" s="63"/>
      <c r="IU74" s="63"/>
      <c r="IV74" s="63"/>
      <c r="IW74" s="63"/>
      <c r="IX74" s="63"/>
      <c r="IY74" s="63"/>
      <c r="IZ74" s="63"/>
      <c r="JA74" s="65">
        <f t="shared" si="107"/>
        <v>0</v>
      </c>
      <c r="JB74" s="63"/>
      <c r="JC74" s="101"/>
      <c r="JD74" s="101"/>
      <c r="JE74" s="63"/>
      <c r="JF74" s="63"/>
      <c r="JG74" s="63"/>
      <c r="JH74" s="63"/>
      <c r="JI74" s="63"/>
      <c r="JJ74" s="63"/>
      <c r="JK74" s="63"/>
      <c r="JL74" s="63"/>
      <c r="JM74" s="63"/>
      <c r="JN74" s="63"/>
      <c r="JO74" s="63"/>
      <c r="JP74" s="65">
        <f t="shared" si="133"/>
        <v>0</v>
      </c>
      <c r="JQ74" s="63"/>
      <c r="LM74" s="205"/>
      <c r="LN74" s="102">
        <f>IFERROR(ROWS($IL$8:IL74)," ")</f>
        <v>67</v>
      </c>
      <c r="LO74" s="103" t="str">
        <f>IFERROR(IF([1]Checklist!$C$3='GenInfo (2)'!E74,'GenInfo (2)'!LN74," ")," ")</f>
        <v xml:space="preserve"> </v>
      </c>
      <c r="LP74" s="104" t="str">
        <f>IFERROR(SMALL($LO$8:$LO$94,ROWS($IL$8:IL74))," ")</f>
        <v xml:space="preserve"> </v>
      </c>
      <c r="LQ74" s="102">
        <f>IFERROR(ROWS($IL$8:IL74)," ")</f>
        <v>67</v>
      </c>
      <c r="LR74" s="103" t="str">
        <f>IFERROR(IF([1]Checklist!$C$4='GenInfo (2)'!E74,'GenInfo (2)'!LQ74," ")," ")</f>
        <v xml:space="preserve"> </v>
      </c>
      <c r="LS74" s="104" t="str">
        <f>IFERROR(SMALL($LR$8:$LR$94,ROWS($IL$8:IL74))," ")</f>
        <v xml:space="preserve"> </v>
      </c>
      <c r="LT74" s="102">
        <f>IFERROR(ROWS($IL$8:IL74)," ")</f>
        <v>67</v>
      </c>
      <c r="LU74" s="103" t="str">
        <f>IFERROR(IF([1]Checklist!$C$5='GenInfo (2)'!E74,'GenInfo (2)'!LT74," ")," ")</f>
        <v xml:space="preserve"> </v>
      </c>
      <c r="LV74" s="104" t="str">
        <f>IFERROR(SMALL($LU$8:$LU$94,ROWS($IL$8:IL74))," ")</f>
        <v xml:space="preserve"> </v>
      </c>
      <c r="LW74" s="102">
        <f>IFERROR(ROWS($IL$8:IL74)," ")</f>
        <v>67</v>
      </c>
      <c r="LX74" s="103" t="str">
        <f>IFERROR(IF([1]Checklist!$C$6='GenInfo (2)'!E74,'GenInfo (2)'!LW74," ")," ")</f>
        <v xml:space="preserve"> </v>
      </c>
      <c r="LY74" s="104" t="str">
        <f>IFERROR(SMALL($LX$8:$LX$94,ROWS($IL$8:IL74))," ")</f>
        <v xml:space="preserve"> </v>
      </c>
      <c r="LZ74" s="102">
        <f>IFERROR(ROWS($IL$8:IL74)," ")</f>
        <v>67</v>
      </c>
      <c r="MA74" s="103" t="str">
        <f>IFERROR(IF([1]Checklist!$C$7='GenInfo (2)'!E74,'GenInfo (2)'!LZ74," ")," ")</f>
        <v xml:space="preserve"> </v>
      </c>
      <c r="MB74" s="104" t="str">
        <f>IFERROR(SMALL($MA$8:$MA$94,ROWS($IL$8:IL74))," ")</f>
        <v xml:space="preserve"> </v>
      </c>
      <c r="MC74" s="102">
        <f>IFERROR(ROWS($IL$8:IL74)," ")</f>
        <v>67</v>
      </c>
      <c r="MD74" s="103" t="str">
        <f>IFERROR(IF([1]Checklist!$C$8='GenInfo (2)'!E74,'GenInfo (2)'!MC74," ")," ")</f>
        <v xml:space="preserve"> </v>
      </c>
      <c r="ME74" s="104" t="str">
        <f>IFERROR(SMALL($MD$8:$MD$94,ROWS($IL$8:IL74))," ")</f>
        <v xml:space="preserve"> </v>
      </c>
      <c r="MF74" s="102">
        <f>IFERROR(ROWS($IL$8:IL74)," ")</f>
        <v>67</v>
      </c>
      <c r="MG74" s="103" t="str">
        <f>IFERROR(IF([1]Checklist!$C$9='GenInfo (2)'!E74,'GenInfo (2)'!MF74," ")," ")</f>
        <v xml:space="preserve"> </v>
      </c>
      <c r="MH74" s="104" t="str">
        <f>IFERROR(SMALL($MG$8:$MG$94,ROWS($IL$8:IL74))," ")</f>
        <v xml:space="preserve"> </v>
      </c>
      <c r="MI74" s="102">
        <f>IFERROR(ROWS($IL$8:$IL74)," ")</f>
        <v>67</v>
      </c>
      <c r="MJ74" s="103" t="str">
        <f>IFERROR(IF([1]Checklist!$C$10='GenInfo (2)'!E74,'GenInfo (2)'!MI74," ")," ")</f>
        <v xml:space="preserve"> </v>
      </c>
      <c r="MK74" s="104" t="str">
        <f>IFERROR(SMALL($MJ$8:$MJ$94,ROWS($IL$8:IL74))," ")</f>
        <v xml:space="preserve"> </v>
      </c>
      <c r="ML74" s="102">
        <f>IFERROR(ROWS($IL$8:IL74)," ")</f>
        <v>67</v>
      </c>
      <c r="MM74" s="103" t="str">
        <f>IFERROR(IF([1]Checklist!$C$11='GenInfo (2)'!E74,'GenInfo (2)'!ML74," ")," ")</f>
        <v xml:space="preserve"> </v>
      </c>
      <c r="MN74" s="104" t="str">
        <f>IFERROR(SMALL($MM$8:$MM$94,ROWS($IL$8:IL74))," ")</f>
        <v xml:space="preserve"> </v>
      </c>
      <c r="MO74" s="102">
        <f>IFERROR(ROWS($IL$8:IL74)," ")</f>
        <v>67</v>
      </c>
      <c r="MP74" s="103" t="str">
        <f>IFERROR(IF([1]Checklist!$C$12='GenInfo (2)'!E74,'GenInfo (2)'!MO74," ")," ")</f>
        <v xml:space="preserve"> </v>
      </c>
      <c r="MQ74" s="104" t="str">
        <f>IFERROR(SMALL($MP$8:$MP$94,ROWS($IL$8:IL74))," ")</f>
        <v xml:space="preserve"> </v>
      </c>
      <c r="MR74" s="102">
        <f>IFERROR(ROWS($IL$8:IL74)," ")</f>
        <v>67</v>
      </c>
      <c r="MS74" s="103" t="str">
        <f>IFERROR(IF([1]Checklist!$C$13='GenInfo (2)'!E74,'GenInfo (2)'!MR74," ")," ")</f>
        <v xml:space="preserve"> </v>
      </c>
      <c r="MT74" s="104" t="str">
        <f>IFERROR(SMALL($MS$8:$MS$94,ROWS($IL$8:IL74))," ")</f>
        <v xml:space="preserve"> </v>
      </c>
      <c r="MU74" s="102">
        <f>IFERROR(ROWS($IL$8:IL74)," ")</f>
        <v>67</v>
      </c>
      <c r="MV74" s="103" t="str">
        <f>IFERROR(IF([1]Checklist!$C$14='GenInfo (2)'!E74,'GenInfo (2)'!MU74," ")," ")</f>
        <v xml:space="preserve"> </v>
      </c>
      <c r="MW74" s="104" t="str">
        <f>IFERROR(SMALL($MV$8:$MV$94,ROWS($IL$8:IL74))," ")</f>
        <v xml:space="preserve"> </v>
      </c>
      <c r="MX74" s="102">
        <f>IFERROR(ROWS($IL$8:IL74)," ")</f>
        <v>67</v>
      </c>
      <c r="MY74" s="103" t="str">
        <f>IFERROR(IF([1]Checklist!$C$15='GenInfo (2)'!E74,'GenInfo (2)'!MX74," ")," ")</f>
        <v xml:space="preserve"> </v>
      </c>
      <c r="MZ74" s="104" t="str">
        <f>IFERROR(SMALL($MY$8:$MY$94,ROWS($IL$8:IL74))," ")</f>
        <v xml:space="preserve"> </v>
      </c>
      <c r="NA74" s="102">
        <f>IFERROR(ROWS($IL$8:IL74)," ")</f>
        <v>67</v>
      </c>
      <c r="NB74" s="103" t="str">
        <f>IFERROR(IF([1]Checklist!$C$16='GenInfo (2)'!E74,'GenInfo (2)'!NA74," ")," ")</f>
        <v xml:space="preserve"> </v>
      </c>
      <c r="NC74" s="104" t="str">
        <f>IFERROR(SMALL($NB$8:$NB$94,ROWS($IL$8:IL74))," ")</f>
        <v xml:space="preserve"> </v>
      </c>
      <c r="ND74" s="102">
        <f>IFERROR(ROWS($IL$8:IL74)," ")</f>
        <v>67</v>
      </c>
      <c r="NE74" s="103" t="str">
        <f>IFERROR(IF([1]Checklist!$C$17='GenInfo (2)'!E74,'GenInfo (2)'!ND74," ")," ")</f>
        <v xml:space="preserve"> </v>
      </c>
      <c r="NF74" s="104" t="str">
        <f>IFERROR(SMALL($NE$8:$NE$94,ROWS($IL$8:IL74))," ")</f>
        <v xml:space="preserve"> </v>
      </c>
    </row>
    <row r="75" spans="5:370" ht="14.25" x14ac:dyDescent="0.45">
      <c r="E75" s="64"/>
      <c r="F75" s="63"/>
      <c r="G75" s="64"/>
      <c r="H75" s="63"/>
      <c r="I75" s="63"/>
      <c r="J75" s="63"/>
      <c r="K75" s="62"/>
      <c r="L75" s="67"/>
      <c r="M75" s="67"/>
      <c r="N75" s="67"/>
      <c r="O75" s="68"/>
      <c r="P75" s="67"/>
      <c r="Q75" s="67"/>
      <c r="R75" s="63"/>
      <c r="S75" s="67"/>
      <c r="T75" s="63"/>
      <c r="U75" s="62"/>
      <c r="V75" s="63"/>
      <c r="W75" s="63"/>
      <c r="X75" s="69"/>
      <c r="Y75" s="63"/>
      <c r="Z75" s="69"/>
      <c r="AA75" s="62"/>
      <c r="AB75" s="63"/>
      <c r="AC75" s="63"/>
      <c r="AD75" s="63"/>
      <c r="AE75" s="63"/>
      <c r="AF75" s="63"/>
      <c r="AG75" s="63"/>
      <c r="AH75" s="63"/>
      <c r="AI75" s="63"/>
      <c r="AJ75" s="63"/>
      <c r="AK75" s="62"/>
      <c r="AL75" s="71">
        <f t="shared" si="95"/>
        <v>0</v>
      </c>
      <c r="AM75" s="71">
        <f t="shared" ca="1" si="137"/>
        <v>122</v>
      </c>
      <c r="AN75" s="63"/>
      <c r="AO75" s="72" t="str">
        <f t="shared" ca="1" si="97"/>
        <v/>
      </c>
      <c r="AP75" s="63"/>
      <c r="AQ75" s="73"/>
      <c r="AR75" s="70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2"/>
      <c r="BE75" s="71">
        <f t="shared" si="144"/>
        <v>0</v>
      </c>
      <c r="BF75" s="71">
        <f t="shared" si="144"/>
        <v>0</v>
      </c>
      <c r="BG75" s="71">
        <f t="shared" si="99"/>
        <v>0</v>
      </c>
      <c r="BH75" s="74" t="str">
        <f t="shared" si="100"/>
        <v xml:space="preserve"> </v>
      </c>
      <c r="BI75" s="75" t="str">
        <f t="shared" si="101"/>
        <v xml:space="preserve"> </v>
      </c>
      <c r="BJ75" s="71">
        <f t="shared" si="102"/>
        <v>0</v>
      </c>
      <c r="BK75" s="75" t="str">
        <f t="shared" si="103"/>
        <v xml:space="preserve"> </v>
      </c>
      <c r="BL75" s="76">
        <f t="shared" si="145"/>
        <v>0</v>
      </c>
      <c r="BM75" s="77">
        <f t="shared" si="145"/>
        <v>0</v>
      </c>
      <c r="BN75" s="78"/>
      <c r="BO75" s="67"/>
      <c r="BP75" s="67"/>
      <c r="BQ75" s="63"/>
      <c r="BR75" s="63"/>
      <c r="BS75" s="74" t="str">
        <f t="shared" si="108"/>
        <v xml:space="preserve"> </v>
      </c>
      <c r="BT75" s="79" t="s">
        <v>221</v>
      </c>
      <c r="BU75" s="79" t="s">
        <v>221</v>
      </c>
      <c r="BV75" s="80">
        <v>0</v>
      </c>
      <c r="BW75" s="81">
        <v>0</v>
      </c>
      <c r="BX75" s="82"/>
      <c r="BY75" s="83"/>
      <c r="BZ75" s="83"/>
      <c r="CA75" s="84"/>
      <c r="CB75" s="84"/>
      <c r="CC75" s="74" t="str">
        <f t="shared" si="109"/>
        <v xml:space="preserve"> </v>
      </c>
      <c r="CD75" s="79" t="s">
        <v>221</v>
      </c>
      <c r="CE75" s="81">
        <v>0</v>
      </c>
      <c r="CF75" s="85"/>
      <c r="CG75" s="85"/>
      <c r="CH75" s="85"/>
      <c r="CI75" s="78"/>
      <c r="CJ75" s="78"/>
      <c r="CK75" s="74" t="str">
        <f t="shared" si="110"/>
        <v xml:space="preserve"> </v>
      </c>
      <c r="CL75" s="79" t="s">
        <v>221</v>
      </c>
      <c r="CM75" s="79" t="s">
        <v>221</v>
      </c>
      <c r="CN75" s="86" t="s">
        <v>221</v>
      </c>
      <c r="CO75" s="81">
        <v>0</v>
      </c>
      <c r="CP75" s="87"/>
      <c r="CQ75" s="83"/>
      <c r="CR75" s="83"/>
      <c r="CS75" s="82"/>
      <c r="CT75" s="82"/>
      <c r="CU75" s="74" t="str">
        <f t="shared" si="111"/>
        <v xml:space="preserve"> </v>
      </c>
      <c r="CV75" s="79" t="s">
        <v>221</v>
      </c>
      <c r="CW75" s="79" t="s">
        <v>221</v>
      </c>
      <c r="CX75" s="88" t="s">
        <v>221</v>
      </c>
      <c r="CY75" s="81">
        <v>0</v>
      </c>
      <c r="CZ75" s="89"/>
      <c r="DA75" s="67"/>
      <c r="DB75" s="67"/>
      <c r="DC75" s="78"/>
      <c r="DD75" s="78"/>
      <c r="DE75" s="74" t="str">
        <f t="shared" si="112"/>
        <v xml:space="preserve"> </v>
      </c>
      <c r="DF75" s="79" t="s">
        <v>221</v>
      </c>
      <c r="DG75" s="79" t="s">
        <v>221</v>
      </c>
      <c r="DH75" s="79" t="s">
        <v>221</v>
      </c>
      <c r="DI75" s="81">
        <v>0</v>
      </c>
      <c r="DJ75" s="87"/>
      <c r="DK75" s="83"/>
      <c r="DL75" s="83"/>
      <c r="DM75" s="82"/>
      <c r="DN75" s="82"/>
      <c r="DO75" s="74" t="str">
        <f t="shared" si="113"/>
        <v xml:space="preserve"> </v>
      </c>
      <c r="DP75" s="79" t="s">
        <v>221</v>
      </c>
      <c r="DQ75" s="79" t="s">
        <v>221</v>
      </c>
      <c r="DR75" s="79" t="s">
        <v>221</v>
      </c>
      <c r="DS75" s="81">
        <v>0</v>
      </c>
      <c r="DT75" s="89"/>
      <c r="DU75" s="67"/>
      <c r="DV75" s="67"/>
      <c r="DW75" s="78"/>
      <c r="DX75" s="78"/>
      <c r="DY75" s="74" t="str">
        <f t="shared" si="114"/>
        <v xml:space="preserve"> </v>
      </c>
      <c r="DZ75" s="94"/>
      <c r="EA75" s="94"/>
      <c r="EB75" s="94"/>
      <c r="EC75" s="94"/>
      <c r="ED75" s="87"/>
      <c r="EE75" s="83"/>
      <c r="EF75" s="83"/>
      <c r="EG75" s="82"/>
      <c r="EH75" s="82"/>
      <c r="EI75" s="74" t="str">
        <f t="shared" si="105"/>
        <v xml:space="preserve"> </v>
      </c>
      <c r="EJ75" s="92"/>
      <c r="EK75" s="92"/>
      <c r="EL75" s="92"/>
      <c r="EM75" s="92"/>
      <c r="EN75" s="89"/>
      <c r="EO75" s="67"/>
      <c r="EP75" s="67"/>
      <c r="EQ75" s="78"/>
      <c r="ER75" s="78"/>
      <c r="ES75" s="74" t="str">
        <f t="shared" si="106"/>
        <v xml:space="preserve"> </v>
      </c>
      <c r="ET75" s="94"/>
      <c r="EU75" s="94"/>
      <c r="EV75" s="94">
        <v>0</v>
      </c>
      <c r="EW75" s="76">
        <v>0</v>
      </c>
      <c r="EX75" s="87"/>
      <c r="EY75" s="83"/>
      <c r="EZ75" s="83"/>
      <c r="FA75" s="82"/>
      <c r="FB75" s="82"/>
      <c r="FC75" s="74" t="str">
        <f t="shared" si="115"/>
        <v xml:space="preserve"> </v>
      </c>
      <c r="FD75" s="92"/>
      <c r="FE75" s="92"/>
      <c r="FF75" s="92"/>
      <c r="FG75" s="92"/>
      <c r="FH75" s="76">
        <f t="shared" si="116"/>
        <v>0</v>
      </c>
      <c r="FI75" s="89"/>
      <c r="FJ75" s="67"/>
      <c r="FK75" s="67"/>
      <c r="FL75" s="78"/>
      <c r="FM75" s="78"/>
      <c r="FN75" s="74" t="str">
        <f t="shared" si="117"/>
        <v xml:space="preserve"> </v>
      </c>
      <c r="FO75" s="94"/>
      <c r="FP75" s="94"/>
      <c r="FQ75" s="94"/>
      <c r="FR75" s="94"/>
      <c r="FS75" s="76">
        <f t="shared" si="118"/>
        <v>0</v>
      </c>
      <c r="FT75" s="87"/>
      <c r="FU75" s="83"/>
      <c r="FV75" s="83"/>
      <c r="FW75" s="82"/>
      <c r="FX75" s="82"/>
      <c r="FY75" s="74" t="str">
        <f t="shared" si="119"/>
        <v xml:space="preserve"> </v>
      </c>
      <c r="FZ75" s="92"/>
      <c r="GA75" s="92"/>
      <c r="GB75" s="92"/>
      <c r="GC75" s="92"/>
      <c r="GD75" s="76">
        <f t="shared" si="120"/>
        <v>0</v>
      </c>
      <c r="GE75" s="62"/>
      <c r="GF75" s="96" t="s">
        <v>221</v>
      </c>
      <c r="GG75" s="96" t="s">
        <v>221</v>
      </c>
      <c r="GH75" s="63"/>
      <c r="GI75" s="63"/>
      <c r="GJ75" s="63"/>
      <c r="GK75" s="97">
        <f t="shared" si="84"/>
        <v>0</v>
      </c>
      <c r="GL75" s="98"/>
      <c r="GM75" s="98"/>
      <c r="GN75" s="97">
        <f t="shared" si="121"/>
        <v>0</v>
      </c>
      <c r="GO75" s="97" t="str">
        <f t="shared" si="122"/>
        <v xml:space="preserve"> </v>
      </c>
      <c r="GP75" s="62"/>
      <c r="GQ75" s="63"/>
      <c r="GR75" s="63"/>
      <c r="GS75" s="63"/>
      <c r="GT75" s="63"/>
      <c r="GU75" s="63"/>
      <c r="GV75" s="63"/>
      <c r="GW75" s="63"/>
      <c r="GX75" s="63"/>
      <c r="GY75" s="65" t="str">
        <f t="shared" si="138"/>
        <v/>
      </c>
      <c r="GZ75" s="65" t="str">
        <f t="shared" si="139"/>
        <v/>
      </c>
      <c r="HA75" s="63"/>
      <c r="HB75" s="63"/>
      <c r="HC75" s="63"/>
      <c r="HD75" s="63"/>
      <c r="HE75" s="63"/>
      <c r="HF75" s="63"/>
      <c r="HG75" s="63"/>
      <c r="HH75" s="63"/>
      <c r="HI75" s="63"/>
      <c r="HJ75" s="63"/>
      <c r="HK75" s="63"/>
      <c r="HL75" s="65" t="str">
        <f t="shared" si="140"/>
        <v/>
      </c>
      <c r="HM75" s="65" t="str">
        <f t="shared" si="124"/>
        <v/>
      </c>
      <c r="HN75" s="65" t="str">
        <f t="shared" si="141"/>
        <v/>
      </c>
      <c r="HO75" s="65" t="str">
        <f t="shared" si="142"/>
        <v/>
      </c>
      <c r="HP75" s="99" t="str">
        <f t="shared" si="130"/>
        <v/>
      </c>
      <c r="HQ75" s="99" t="str">
        <f t="shared" si="143"/>
        <v/>
      </c>
      <c r="HR75" s="63"/>
      <c r="HS75" s="63"/>
      <c r="HT75" s="63"/>
      <c r="HU75" s="63"/>
      <c r="HV75" s="63"/>
      <c r="HW75" s="63"/>
      <c r="HX75" s="63"/>
      <c r="HY75" s="63"/>
      <c r="HZ75" s="63"/>
      <c r="IA75" s="63"/>
      <c r="IB75" s="63"/>
      <c r="IC75" s="63"/>
      <c r="ID75" s="63"/>
      <c r="IE75" s="100"/>
      <c r="IF75" s="100"/>
      <c r="IG75" s="100"/>
      <c r="IH75" s="100"/>
      <c r="II75" s="100"/>
      <c r="IJ75" s="100"/>
      <c r="IK75" s="100"/>
      <c r="IL75" s="63"/>
      <c r="IM75" s="62"/>
      <c r="IN75" s="101"/>
      <c r="IO75" s="101"/>
      <c r="IP75" s="63"/>
      <c r="IQ75" s="63"/>
      <c r="IR75" s="63"/>
      <c r="IS75" s="63"/>
      <c r="IT75" s="63"/>
      <c r="IU75" s="63"/>
      <c r="IV75" s="63"/>
      <c r="IW75" s="63"/>
      <c r="IX75" s="63"/>
      <c r="IY75" s="63"/>
      <c r="IZ75" s="63"/>
      <c r="JA75" s="65">
        <f t="shared" si="107"/>
        <v>0</v>
      </c>
      <c r="JB75" s="63"/>
      <c r="JC75" s="101"/>
      <c r="JD75" s="101"/>
      <c r="JE75" s="63"/>
      <c r="JF75" s="63"/>
      <c r="JG75" s="63"/>
      <c r="JH75" s="63"/>
      <c r="JI75" s="63"/>
      <c r="JJ75" s="63"/>
      <c r="JK75" s="63"/>
      <c r="JL75" s="63"/>
      <c r="JM75" s="63"/>
      <c r="JN75" s="63"/>
      <c r="JO75" s="63"/>
      <c r="JP75" s="65">
        <f t="shared" si="133"/>
        <v>0</v>
      </c>
      <c r="JQ75" s="63"/>
      <c r="LM75" s="205"/>
      <c r="LN75" s="102">
        <f>IFERROR(ROWS($IL$8:IL75)," ")</f>
        <v>68</v>
      </c>
      <c r="LO75" s="103" t="str">
        <f>IFERROR(IF([1]Checklist!$C$3='GenInfo (2)'!E75,'GenInfo (2)'!LN75," ")," ")</f>
        <v xml:space="preserve"> </v>
      </c>
      <c r="LP75" s="104" t="str">
        <f>IFERROR(SMALL($LO$8:$LO$94,ROWS($IL$8:IL75))," ")</f>
        <v xml:space="preserve"> </v>
      </c>
      <c r="LQ75" s="102">
        <f>IFERROR(ROWS($IL$8:IL75)," ")</f>
        <v>68</v>
      </c>
      <c r="LR75" s="103" t="str">
        <f>IFERROR(IF([1]Checklist!$C$4='GenInfo (2)'!E75,'GenInfo (2)'!LQ75," ")," ")</f>
        <v xml:space="preserve"> </v>
      </c>
      <c r="LS75" s="104" t="str">
        <f>IFERROR(SMALL($LR$8:$LR$94,ROWS($IL$8:IL75))," ")</f>
        <v xml:space="preserve"> </v>
      </c>
      <c r="LT75" s="102">
        <f>IFERROR(ROWS($IL$8:IL75)," ")</f>
        <v>68</v>
      </c>
      <c r="LU75" s="103" t="str">
        <f>IFERROR(IF([1]Checklist!$C$5='GenInfo (2)'!E75,'GenInfo (2)'!LT75," ")," ")</f>
        <v xml:space="preserve"> </v>
      </c>
      <c r="LV75" s="104" t="str">
        <f>IFERROR(SMALL($LU$8:$LU$94,ROWS($IL$8:IL75))," ")</f>
        <v xml:space="preserve"> </v>
      </c>
      <c r="LW75" s="102">
        <f>IFERROR(ROWS($IL$8:IL75)," ")</f>
        <v>68</v>
      </c>
      <c r="LX75" s="103" t="str">
        <f>IFERROR(IF([1]Checklist!$C$6='GenInfo (2)'!E75,'GenInfo (2)'!LW75," ")," ")</f>
        <v xml:space="preserve"> </v>
      </c>
      <c r="LY75" s="104" t="str">
        <f>IFERROR(SMALL($LX$8:$LX$94,ROWS($IL$8:IL75))," ")</f>
        <v xml:space="preserve"> </v>
      </c>
      <c r="LZ75" s="102">
        <f>IFERROR(ROWS($IL$8:IL75)," ")</f>
        <v>68</v>
      </c>
      <c r="MA75" s="103" t="str">
        <f>IFERROR(IF([1]Checklist!$C$7='GenInfo (2)'!E75,'GenInfo (2)'!LZ75," ")," ")</f>
        <v xml:space="preserve"> </v>
      </c>
      <c r="MB75" s="104" t="str">
        <f>IFERROR(SMALL($MA$8:$MA$94,ROWS($IL$8:IL75))," ")</f>
        <v xml:space="preserve"> </v>
      </c>
      <c r="MC75" s="102">
        <f>IFERROR(ROWS($IL$8:IL75)," ")</f>
        <v>68</v>
      </c>
      <c r="MD75" s="103" t="str">
        <f>IFERROR(IF([1]Checklist!$C$8='GenInfo (2)'!E75,'GenInfo (2)'!MC75," ")," ")</f>
        <v xml:space="preserve"> </v>
      </c>
      <c r="ME75" s="104" t="str">
        <f>IFERROR(SMALL($MD$8:$MD$94,ROWS($IL$8:IL75))," ")</f>
        <v xml:space="preserve"> </v>
      </c>
      <c r="MF75" s="102">
        <f>IFERROR(ROWS($IL$8:IL75)," ")</f>
        <v>68</v>
      </c>
      <c r="MG75" s="103" t="str">
        <f>IFERROR(IF([1]Checklist!$C$9='GenInfo (2)'!E75,'GenInfo (2)'!MF75," ")," ")</f>
        <v xml:space="preserve"> </v>
      </c>
      <c r="MH75" s="104" t="str">
        <f>IFERROR(SMALL($MG$8:$MG$94,ROWS($IL$8:IL75))," ")</f>
        <v xml:space="preserve"> </v>
      </c>
      <c r="MI75" s="102">
        <f>IFERROR(ROWS($IL$8:$IL75)," ")</f>
        <v>68</v>
      </c>
      <c r="MJ75" s="103" t="str">
        <f>IFERROR(IF([1]Checklist!$C$10='GenInfo (2)'!E75,'GenInfo (2)'!MI75," ")," ")</f>
        <v xml:space="preserve"> </v>
      </c>
      <c r="MK75" s="104" t="str">
        <f>IFERROR(SMALL($MJ$8:$MJ$94,ROWS($IL$8:IL75))," ")</f>
        <v xml:space="preserve"> </v>
      </c>
      <c r="ML75" s="102">
        <f>IFERROR(ROWS($IL$8:IL75)," ")</f>
        <v>68</v>
      </c>
      <c r="MM75" s="103" t="str">
        <f>IFERROR(IF([1]Checklist!$C$11='GenInfo (2)'!E75,'GenInfo (2)'!ML75," ")," ")</f>
        <v xml:space="preserve"> </v>
      </c>
      <c r="MN75" s="104" t="str">
        <f>IFERROR(SMALL($MM$8:$MM$94,ROWS($IL$8:IL75))," ")</f>
        <v xml:space="preserve"> </v>
      </c>
      <c r="MO75" s="102">
        <f>IFERROR(ROWS($IL$8:IL75)," ")</f>
        <v>68</v>
      </c>
      <c r="MP75" s="103" t="str">
        <f>IFERROR(IF([1]Checklist!$C$12='GenInfo (2)'!E75,'GenInfo (2)'!MO75," ")," ")</f>
        <v xml:space="preserve"> </v>
      </c>
      <c r="MQ75" s="104" t="str">
        <f>IFERROR(SMALL($MP$8:$MP$94,ROWS($IL$8:IL75))," ")</f>
        <v xml:space="preserve"> </v>
      </c>
      <c r="MR75" s="102">
        <f>IFERROR(ROWS($IL$8:IL75)," ")</f>
        <v>68</v>
      </c>
      <c r="MS75" s="103" t="str">
        <f>IFERROR(IF([1]Checklist!$C$13='GenInfo (2)'!E75,'GenInfo (2)'!MR75," ")," ")</f>
        <v xml:space="preserve"> </v>
      </c>
      <c r="MT75" s="104" t="str">
        <f>IFERROR(SMALL($MS$8:$MS$94,ROWS($IL$8:IL75))," ")</f>
        <v xml:space="preserve"> </v>
      </c>
      <c r="MU75" s="102">
        <f>IFERROR(ROWS($IL$8:IL75)," ")</f>
        <v>68</v>
      </c>
      <c r="MV75" s="103" t="str">
        <f>IFERROR(IF([1]Checklist!$C$14='GenInfo (2)'!E75,'GenInfo (2)'!MU75," ")," ")</f>
        <v xml:space="preserve"> </v>
      </c>
      <c r="MW75" s="104" t="str">
        <f>IFERROR(SMALL($MV$8:$MV$94,ROWS($IL$8:IL75))," ")</f>
        <v xml:space="preserve"> </v>
      </c>
      <c r="MX75" s="102">
        <f>IFERROR(ROWS($IL$8:IL75)," ")</f>
        <v>68</v>
      </c>
      <c r="MY75" s="103" t="str">
        <f>IFERROR(IF([1]Checklist!$C$15='GenInfo (2)'!E75,'GenInfo (2)'!MX75," ")," ")</f>
        <v xml:space="preserve"> </v>
      </c>
      <c r="MZ75" s="104" t="str">
        <f>IFERROR(SMALL($MY$8:$MY$94,ROWS($IL$8:IL75))," ")</f>
        <v xml:space="preserve"> </v>
      </c>
      <c r="NA75" s="102">
        <f>IFERROR(ROWS($IL$8:IL75)," ")</f>
        <v>68</v>
      </c>
      <c r="NB75" s="103" t="str">
        <f>IFERROR(IF([1]Checklist!$C$16='GenInfo (2)'!E75,'GenInfo (2)'!NA75," ")," ")</f>
        <v xml:space="preserve"> </v>
      </c>
      <c r="NC75" s="104" t="str">
        <f>IFERROR(SMALL($NB$8:$NB$94,ROWS($IL$8:IL75))," ")</f>
        <v xml:space="preserve"> </v>
      </c>
      <c r="ND75" s="102">
        <f>IFERROR(ROWS($IL$8:IL75)," ")</f>
        <v>68</v>
      </c>
      <c r="NE75" s="103" t="str">
        <f>IFERROR(IF([1]Checklist!$C$17='GenInfo (2)'!E75,'GenInfo (2)'!ND75," ")," ")</f>
        <v xml:space="preserve"> </v>
      </c>
      <c r="NF75" s="104" t="str">
        <f>IFERROR(SMALL($NE$8:$NE$94,ROWS($IL$8:IL75))," ")</f>
        <v xml:space="preserve"> </v>
      </c>
    </row>
    <row r="76" spans="5:370" ht="14.25" x14ac:dyDescent="0.45">
      <c r="E76" s="64"/>
      <c r="F76" s="63"/>
      <c r="G76" s="64"/>
      <c r="H76" s="63"/>
      <c r="I76" s="63"/>
      <c r="J76" s="63"/>
      <c r="K76" s="62"/>
      <c r="L76" s="67"/>
      <c r="M76" s="67"/>
      <c r="N76" s="67"/>
      <c r="O76" s="68"/>
      <c r="P76" s="67"/>
      <c r="Q76" s="67"/>
      <c r="R76" s="63"/>
      <c r="S76" s="67"/>
      <c r="T76" s="63"/>
      <c r="U76" s="62"/>
      <c r="V76" s="63"/>
      <c r="W76" s="63"/>
      <c r="X76" s="69"/>
      <c r="Y76" s="63"/>
      <c r="Z76" s="69"/>
      <c r="AA76" s="62"/>
      <c r="AB76" s="63"/>
      <c r="AC76" s="63"/>
      <c r="AD76" s="63"/>
      <c r="AE76" s="63"/>
      <c r="AF76" s="63"/>
      <c r="AG76" s="63"/>
      <c r="AH76" s="63"/>
      <c r="AI76" s="63"/>
      <c r="AJ76" s="63"/>
      <c r="AK76" s="62"/>
      <c r="AL76" s="71">
        <f t="shared" si="95"/>
        <v>0</v>
      </c>
      <c r="AM76" s="71">
        <f t="shared" ca="1" si="137"/>
        <v>122</v>
      </c>
      <c r="AN76" s="63"/>
      <c r="AO76" s="72" t="str">
        <f t="shared" ca="1" si="97"/>
        <v/>
      </c>
      <c r="AP76" s="63"/>
      <c r="AQ76" s="73"/>
      <c r="AR76" s="70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2"/>
      <c r="BE76" s="71">
        <f t="shared" si="144"/>
        <v>0</v>
      </c>
      <c r="BF76" s="71">
        <f t="shared" si="144"/>
        <v>0</v>
      </c>
      <c r="BG76" s="71">
        <f t="shared" si="99"/>
        <v>0</v>
      </c>
      <c r="BH76" s="74" t="str">
        <f t="shared" si="100"/>
        <v xml:space="preserve"> </v>
      </c>
      <c r="BI76" s="75" t="str">
        <f t="shared" si="101"/>
        <v xml:space="preserve"> </v>
      </c>
      <c r="BJ76" s="71">
        <f t="shared" si="102"/>
        <v>0</v>
      </c>
      <c r="BK76" s="75" t="str">
        <f t="shared" si="103"/>
        <v xml:space="preserve"> </v>
      </c>
      <c r="BL76" s="76">
        <f t="shared" si="145"/>
        <v>0</v>
      </c>
      <c r="BM76" s="77">
        <f t="shared" si="145"/>
        <v>0</v>
      </c>
      <c r="BN76" s="78"/>
      <c r="BO76" s="67"/>
      <c r="BP76" s="67"/>
      <c r="BQ76" s="63"/>
      <c r="BR76" s="63"/>
      <c r="BS76" s="74" t="str">
        <f t="shared" si="108"/>
        <v xml:space="preserve"> </v>
      </c>
      <c r="BT76" s="79" t="s">
        <v>221</v>
      </c>
      <c r="BU76" s="79" t="s">
        <v>221</v>
      </c>
      <c r="BV76" s="80">
        <v>0</v>
      </c>
      <c r="BW76" s="81">
        <v>0</v>
      </c>
      <c r="BX76" s="82"/>
      <c r="BY76" s="83"/>
      <c r="BZ76" s="83"/>
      <c r="CA76" s="84"/>
      <c r="CB76" s="84"/>
      <c r="CC76" s="74" t="str">
        <f t="shared" si="109"/>
        <v xml:space="preserve"> </v>
      </c>
      <c r="CD76" s="79" t="s">
        <v>221</v>
      </c>
      <c r="CE76" s="81">
        <v>0</v>
      </c>
      <c r="CF76" s="85"/>
      <c r="CG76" s="85"/>
      <c r="CH76" s="85"/>
      <c r="CI76" s="78"/>
      <c r="CJ76" s="78"/>
      <c r="CK76" s="74" t="str">
        <f t="shared" si="110"/>
        <v xml:space="preserve"> </v>
      </c>
      <c r="CL76" s="79" t="s">
        <v>221</v>
      </c>
      <c r="CM76" s="79" t="s">
        <v>221</v>
      </c>
      <c r="CN76" s="86" t="s">
        <v>221</v>
      </c>
      <c r="CO76" s="81">
        <v>0</v>
      </c>
      <c r="CP76" s="87"/>
      <c r="CQ76" s="83"/>
      <c r="CR76" s="83"/>
      <c r="CS76" s="82"/>
      <c r="CT76" s="82"/>
      <c r="CU76" s="74" t="str">
        <f t="shared" si="111"/>
        <v xml:space="preserve"> </v>
      </c>
      <c r="CV76" s="79" t="s">
        <v>221</v>
      </c>
      <c r="CW76" s="79" t="s">
        <v>221</v>
      </c>
      <c r="CX76" s="88" t="s">
        <v>221</v>
      </c>
      <c r="CY76" s="81">
        <v>0</v>
      </c>
      <c r="CZ76" s="89"/>
      <c r="DA76" s="67"/>
      <c r="DB76" s="67"/>
      <c r="DC76" s="78"/>
      <c r="DD76" s="78"/>
      <c r="DE76" s="74" t="str">
        <f t="shared" si="112"/>
        <v xml:space="preserve"> </v>
      </c>
      <c r="DF76" s="79" t="s">
        <v>221</v>
      </c>
      <c r="DG76" s="79" t="s">
        <v>221</v>
      </c>
      <c r="DH76" s="79" t="s">
        <v>221</v>
      </c>
      <c r="DI76" s="81">
        <v>0</v>
      </c>
      <c r="DJ76" s="87"/>
      <c r="DK76" s="83"/>
      <c r="DL76" s="83"/>
      <c r="DM76" s="82"/>
      <c r="DN76" s="82"/>
      <c r="DO76" s="74" t="str">
        <f t="shared" si="113"/>
        <v xml:space="preserve"> </v>
      </c>
      <c r="DP76" s="79" t="s">
        <v>221</v>
      </c>
      <c r="DQ76" s="79" t="s">
        <v>221</v>
      </c>
      <c r="DR76" s="79" t="s">
        <v>221</v>
      </c>
      <c r="DS76" s="81">
        <v>0</v>
      </c>
      <c r="DT76" s="89"/>
      <c r="DU76" s="67"/>
      <c r="DV76" s="67"/>
      <c r="DW76" s="78"/>
      <c r="DX76" s="78"/>
      <c r="DY76" s="74" t="str">
        <f t="shared" si="114"/>
        <v xml:space="preserve"> </v>
      </c>
      <c r="DZ76" s="94"/>
      <c r="EA76" s="94"/>
      <c r="EB76" s="94"/>
      <c r="EC76" s="94"/>
      <c r="ED76" s="87"/>
      <c r="EE76" s="83"/>
      <c r="EF76" s="83"/>
      <c r="EG76" s="82"/>
      <c r="EH76" s="82"/>
      <c r="EI76" s="74" t="str">
        <f t="shared" si="105"/>
        <v xml:space="preserve"> </v>
      </c>
      <c r="EJ76" s="92"/>
      <c r="EK76" s="92"/>
      <c r="EL76" s="92"/>
      <c r="EM76" s="92"/>
      <c r="EN76" s="89"/>
      <c r="EO76" s="67"/>
      <c r="EP76" s="67"/>
      <c r="EQ76" s="78"/>
      <c r="ER76" s="78"/>
      <c r="ES76" s="74" t="str">
        <f t="shared" si="106"/>
        <v xml:space="preserve"> </v>
      </c>
      <c r="ET76" s="94"/>
      <c r="EU76" s="94"/>
      <c r="EV76" s="94">
        <v>0</v>
      </c>
      <c r="EW76" s="76">
        <v>0</v>
      </c>
      <c r="EX76" s="87"/>
      <c r="EY76" s="83"/>
      <c r="EZ76" s="83"/>
      <c r="FA76" s="82"/>
      <c r="FB76" s="82"/>
      <c r="FC76" s="74" t="str">
        <f t="shared" si="115"/>
        <v xml:space="preserve"> </v>
      </c>
      <c r="FD76" s="92"/>
      <c r="FE76" s="92"/>
      <c r="FF76" s="92"/>
      <c r="FG76" s="92"/>
      <c r="FH76" s="76">
        <f t="shared" si="116"/>
        <v>0</v>
      </c>
      <c r="FI76" s="89"/>
      <c r="FJ76" s="67"/>
      <c r="FK76" s="67"/>
      <c r="FL76" s="78"/>
      <c r="FM76" s="78"/>
      <c r="FN76" s="74" t="str">
        <f t="shared" si="117"/>
        <v xml:space="preserve"> </v>
      </c>
      <c r="FO76" s="94"/>
      <c r="FP76" s="94"/>
      <c r="FQ76" s="94"/>
      <c r="FR76" s="94"/>
      <c r="FS76" s="76">
        <f t="shared" si="118"/>
        <v>0</v>
      </c>
      <c r="FT76" s="87"/>
      <c r="FU76" s="83"/>
      <c r="FV76" s="83"/>
      <c r="FW76" s="82"/>
      <c r="FX76" s="82"/>
      <c r="FY76" s="74" t="str">
        <f t="shared" si="119"/>
        <v xml:space="preserve"> </v>
      </c>
      <c r="FZ76" s="92"/>
      <c r="GA76" s="92"/>
      <c r="GB76" s="92"/>
      <c r="GC76" s="92"/>
      <c r="GD76" s="76">
        <f t="shared" si="120"/>
        <v>0</v>
      </c>
      <c r="GE76" s="62"/>
      <c r="GF76" s="96" t="s">
        <v>221</v>
      </c>
      <c r="GG76" s="96" t="s">
        <v>221</v>
      </c>
      <c r="GH76" s="63"/>
      <c r="GI76" s="63"/>
      <c r="GJ76" s="63"/>
      <c r="GK76" s="97">
        <f t="shared" si="84"/>
        <v>0</v>
      </c>
      <c r="GL76" s="98"/>
      <c r="GM76" s="98"/>
      <c r="GN76" s="97">
        <f t="shared" si="121"/>
        <v>0</v>
      </c>
      <c r="GO76" s="97" t="str">
        <f t="shared" si="122"/>
        <v xml:space="preserve"> </v>
      </c>
      <c r="GP76" s="62"/>
      <c r="GQ76" s="63"/>
      <c r="GR76" s="63"/>
      <c r="GS76" s="63"/>
      <c r="GT76" s="63"/>
      <c r="GU76" s="63"/>
      <c r="GV76" s="63"/>
      <c r="GW76" s="63"/>
      <c r="GX76" s="63"/>
      <c r="GY76" s="65" t="str">
        <f t="shared" si="138"/>
        <v/>
      </c>
      <c r="GZ76" s="65" t="str">
        <f t="shared" si="139"/>
        <v/>
      </c>
      <c r="HA76" s="63"/>
      <c r="HB76" s="63"/>
      <c r="HC76" s="63"/>
      <c r="HD76" s="63"/>
      <c r="HE76" s="63"/>
      <c r="HF76" s="63"/>
      <c r="HG76" s="63"/>
      <c r="HH76" s="63"/>
      <c r="HI76" s="63"/>
      <c r="HJ76" s="63"/>
      <c r="HK76" s="63"/>
      <c r="HL76" s="65" t="str">
        <f t="shared" si="140"/>
        <v/>
      </c>
      <c r="HM76" s="65" t="str">
        <f t="shared" si="124"/>
        <v/>
      </c>
      <c r="HN76" s="65" t="str">
        <f t="shared" si="141"/>
        <v/>
      </c>
      <c r="HO76" s="65" t="str">
        <f t="shared" si="142"/>
        <v/>
      </c>
      <c r="HP76" s="99" t="str">
        <f t="shared" si="130"/>
        <v/>
      </c>
      <c r="HQ76" s="99" t="str">
        <f t="shared" si="143"/>
        <v/>
      </c>
      <c r="HR76" s="63"/>
      <c r="HS76" s="63"/>
      <c r="HT76" s="63"/>
      <c r="HU76" s="63"/>
      <c r="HV76" s="63"/>
      <c r="HW76" s="63"/>
      <c r="HX76" s="63"/>
      <c r="HY76" s="63"/>
      <c r="HZ76" s="63"/>
      <c r="IA76" s="63"/>
      <c r="IB76" s="63"/>
      <c r="IC76" s="63"/>
      <c r="ID76" s="63"/>
      <c r="IE76" s="63"/>
      <c r="IF76" s="63"/>
      <c r="IG76" s="63"/>
      <c r="IH76" s="63"/>
      <c r="II76" s="63"/>
      <c r="IJ76" s="63"/>
      <c r="IK76" s="63"/>
      <c r="IL76" s="63"/>
      <c r="IM76" s="62"/>
      <c r="IN76" s="101"/>
      <c r="IO76" s="101"/>
      <c r="IP76" s="63"/>
      <c r="IQ76" s="63"/>
      <c r="IR76" s="63"/>
      <c r="IS76" s="63"/>
      <c r="IT76" s="63"/>
      <c r="IU76" s="63"/>
      <c r="IV76" s="63"/>
      <c r="IW76" s="63"/>
      <c r="IX76" s="63"/>
      <c r="IY76" s="63"/>
      <c r="IZ76" s="63"/>
      <c r="JA76" s="65">
        <f t="shared" si="107"/>
        <v>0</v>
      </c>
      <c r="JB76" s="63"/>
      <c r="JC76" s="101"/>
      <c r="JD76" s="101"/>
      <c r="JE76" s="63"/>
      <c r="JF76" s="63"/>
      <c r="JG76" s="63"/>
      <c r="JH76" s="63"/>
      <c r="JI76" s="63"/>
      <c r="JJ76" s="63"/>
      <c r="JK76" s="63"/>
      <c r="JL76" s="63"/>
      <c r="JM76" s="63"/>
      <c r="JN76" s="63"/>
      <c r="JO76" s="63"/>
      <c r="JP76" s="65">
        <f t="shared" si="133"/>
        <v>0</v>
      </c>
      <c r="JQ76" s="63"/>
      <c r="LM76" s="205"/>
      <c r="LN76" s="102">
        <f>IFERROR(ROWS($IL$8:IL76)," ")</f>
        <v>69</v>
      </c>
      <c r="LO76" s="103" t="str">
        <f>IFERROR(IF([1]Checklist!$C$3='GenInfo (2)'!E76,'GenInfo (2)'!LN76," ")," ")</f>
        <v xml:space="preserve"> </v>
      </c>
      <c r="LP76" s="104" t="str">
        <f>IFERROR(SMALL($LO$8:$LO$94,ROWS($IL$8:IL76))," ")</f>
        <v xml:space="preserve"> </v>
      </c>
      <c r="LQ76" s="102">
        <f>IFERROR(ROWS($IL$8:IL76)," ")</f>
        <v>69</v>
      </c>
      <c r="LR76" s="103" t="str">
        <f>IFERROR(IF([1]Checklist!$C$4='GenInfo (2)'!E76,'GenInfo (2)'!LQ76," ")," ")</f>
        <v xml:space="preserve"> </v>
      </c>
      <c r="LS76" s="104" t="str">
        <f>IFERROR(SMALL($LR$8:$LR$94,ROWS($IL$8:IL76))," ")</f>
        <v xml:space="preserve"> </v>
      </c>
      <c r="LT76" s="102">
        <f>IFERROR(ROWS($IL$8:IL76)," ")</f>
        <v>69</v>
      </c>
      <c r="LU76" s="103" t="str">
        <f>IFERROR(IF([1]Checklist!$C$5='GenInfo (2)'!E76,'GenInfo (2)'!LT76," ")," ")</f>
        <v xml:space="preserve"> </v>
      </c>
      <c r="LV76" s="104" t="str">
        <f>IFERROR(SMALL($LU$8:$LU$94,ROWS($IL$8:IL76))," ")</f>
        <v xml:space="preserve"> </v>
      </c>
      <c r="LW76" s="102">
        <f>IFERROR(ROWS($IL$8:IL76)," ")</f>
        <v>69</v>
      </c>
      <c r="LX76" s="103" t="str">
        <f>IFERROR(IF([1]Checklist!$C$6='GenInfo (2)'!E76,'GenInfo (2)'!LW76," ")," ")</f>
        <v xml:space="preserve"> </v>
      </c>
      <c r="LY76" s="104" t="str">
        <f>IFERROR(SMALL($LX$8:$LX$94,ROWS($IL$8:IL76))," ")</f>
        <v xml:space="preserve"> </v>
      </c>
      <c r="LZ76" s="102">
        <f>IFERROR(ROWS($IL$8:IL76)," ")</f>
        <v>69</v>
      </c>
      <c r="MA76" s="103" t="str">
        <f>IFERROR(IF([1]Checklist!$C$7='GenInfo (2)'!E76,'GenInfo (2)'!LZ76," ")," ")</f>
        <v xml:space="preserve"> </v>
      </c>
      <c r="MB76" s="104" t="str">
        <f>IFERROR(SMALL($MA$8:$MA$94,ROWS($IL$8:IL76))," ")</f>
        <v xml:space="preserve"> </v>
      </c>
      <c r="MC76" s="102">
        <f>IFERROR(ROWS($IL$8:IL76)," ")</f>
        <v>69</v>
      </c>
      <c r="MD76" s="103" t="str">
        <f>IFERROR(IF([1]Checklist!$C$8='GenInfo (2)'!E76,'GenInfo (2)'!MC76," ")," ")</f>
        <v xml:space="preserve"> </v>
      </c>
      <c r="ME76" s="104" t="str">
        <f>IFERROR(SMALL($MD$8:$MD$94,ROWS($IL$8:IL76))," ")</f>
        <v xml:space="preserve"> </v>
      </c>
      <c r="MF76" s="102">
        <f>IFERROR(ROWS($IL$8:IL76)," ")</f>
        <v>69</v>
      </c>
      <c r="MG76" s="103" t="str">
        <f>IFERROR(IF([1]Checklist!$C$9='GenInfo (2)'!E76,'GenInfo (2)'!MF76," ")," ")</f>
        <v xml:space="preserve"> </v>
      </c>
      <c r="MH76" s="104" t="str">
        <f>IFERROR(SMALL($MG$8:$MG$94,ROWS($IL$8:IL76))," ")</f>
        <v xml:space="preserve"> </v>
      </c>
      <c r="MI76" s="102">
        <f>IFERROR(ROWS($IL$8:$IL76)," ")</f>
        <v>69</v>
      </c>
      <c r="MJ76" s="103" t="str">
        <f>IFERROR(IF([1]Checklist!$C$10='GenInfo (2)'!E76,'GenInfo (2)'!MI76," ")," ")</f>
        <v xml:space="preserve"> </v>
      </c>
      <c r="MK76" s="104" t="str">
        <f>IFERROR(SMALL($MJ$8:$MJ$94,ROWS($IL$8:IL76))," ")</f>
        <v xml:space="preserve"> </v>
      </c>
      <c r="ML76" s="102">
        <f>IFERROR(ROWS($IL$8:IL76)," ")</f>
        <v>69</v>
      </c>
      <c r="MM76" s="103" t="str">
        <f>IFERROR(IF([1]Checklist!$C$11='GenInfo (2)'!E76,'GenInfo (2)'!ML76," ")," ")</f>
        <v xml:space="preserve"> </v>
      </c>
      <c r="MN76" s="104" t="str">
        <f>IFERROR(SMALL($MM$8:$MM$94,ROWS($IL$8:IL76))," ")</f>
        <v xml:space="preserve"> </v>
      </c>
      <c r="MO76" s="102">
        <f>IFERROR(ROWS($IL$8:IL76)," ")</f>
        <v>69</v>
      </c>
      <c r="MP76" s="103" t="str">
        <f>IFERROR(IF([1]Checklist!$C$12='GenInfo (2)'!E76,'GenInfo (2)'!MO76," ")," ")</f>
        <v xml:space="preserve"> </v>
      </c>
      <c r="MQ76" s="104" t="str">
        <f>IFERROR(SMALL($MP$8:$MP$94,ROWS($IL$8:IL76))," ")</f>
        <v xml:space="preserve"> </v>
      </c>
      <c r="MR76" s="102">
        <f>IFERROR(ROWS($IL$8:IL76)," ")</f>
        <v>69</v>
      </c>
      <c r="MS76" s="103" t="str">
        <f>IFERROR(IF([1]Checklist!$C$13='GenInfo (2)'!E76,'GenInfo (2)'!MR76," ")," ")</f>
        <v xml:space="preserve"> </v>
      </c>
      <c r="MT76" s="104" t="str">
        <f>IFERROR(SMALL($MS$8:$MS$94,ROWS($IL$8:IL76))," ")</f>
        <v xml:space="preserve"> </v>
      </c>
      <c r="MU76" s="102">
        <f>IFERROR(ROWS($IL$8:IL76)," ")</f>
        <v>69</v>
      </c>
      <c r="MV76" s="103" t="str">
        <f>IFERROR(IF([1]Checklist!$C$14='GenInfo (2)'!E76,'GenInfo (2)'!MU76," ")," ")</f>
        <v xml:space="preserve"> </v>
      </c>
      <c r="MW76" s="104" t="str">
        <f>IFERROR(SMALL($MV$8:$MV$94,ROWS($IL$8:IL76))," ")</f>
        <v xml:space="preserve"> </v>
      </c>
      <c r="MX76" s="102">
        <f>IFERROR(ROWS($IL$8:IL76)," ")</f>
        <v>69</v>
      </c>
      <c r="MY76" s="103" t="str">
        <f>IFERROR(IF([1]Checklist!$C$15='GenInfo (2)'!E76,'GenInfo (2)'!MX76," ")," ")</f>
        <v xml:space="preserve"> </v>
      </c>
      <c r="MZ76" s="104" t="str">
        <f>IFERROR(SMALL($MY$8:$MY$94,ROWS($IL$8:IL76))," ")</f>
        <v xml:space="preserve"> </v>
      </c>
      <c r="NA76" s="102">
        <f>IFERROR(ROWS($IL$8:IL76)," ")</f>
        <v>69</v>
      </c>
      <c r="NB76" s="103" t="str">
        <f>IFERROR(IF([1]Checklist!$C$16='GenInfo (2)'!E76,'GenInfo (2)'!NA76," ")," ")</f>
        <v xml:space="preserve"> </v>
      </c>
      <c r="NC76" s="104" t="str">
        <f>IFERROR(SMALL($NB$8:$NB$94,ROWS($IL$8:IL76))," ")</f>
        <v xml:space="preserve"> </v>
      </c>
      <c r="ND76" s="102">
        <f>IFERROR(ROWS($IL$8:IL76)," ")</f>
        <v>69</v>
      </c>
      <c r="NE76" s="103" t="str">
        <f>IFERROR(IF([1]Checklist!$C$17='GenInfo (2)'!E76,'GenInfo (2)'!ND76," ")," ")</f>
        <v xml:space="preserve"> </v>
      </c>
      <c r="NF76" s="104" t="str">
        <f>IFERROR(SMALL($NE$8:$NE$94,ROWS($IL$8:IL76))," ")</f>
        <v xml:space="preserve"> </v>
      </c>
    </row>
    <row r="77" spans="5:370" ht="14.25" x14ac:dyDescent="0.45">
      <c r="E77" s="64"/>
      <c r="F77" s="63"/>
      <c r="G77" s="64"/>
      <c r="H77" s="63"/>
      <c r="I77" s="63"/>
      <c r="J77" s="63"/>
      <c r="K77" s="62"/>
      <c r="L77" s="67"/>
      <c r="M77" s="67"/>
      <c r="N77" s="67"/>
      <c r="O77" s="68"/>
      <c r="P77" s="67"/>
      <c r="Q77" s="67"/>
      <c r="R77" s="63"/>
      <c r="S77" s="67"/>
      <c r="T77" s="63"/>
      <c r="U77" s="62"/>
      <c r="V77" s="63"/>
      <c r="W77" s="63"/>
      <c r="X77" s="69"/>
      <c r="Y77" s="63"/>
      <c r="Z77" s="69"/>
      <c r="AA77" s="62"/>
      <c r="AB77" s="63"/>
      <c r="AC77" s="63"/>
      <c r="AD77" s="63"/>
      <c r="AE77" s="63"/>
      <c r="AF77" s="63"/>
      <c r="AG77" s="63"/>
      <c r="AH77" s="63"/>
      <c r="AI77" s="63"/>
      <c r="AJ77" s="63"/>
      <c r="AK77" s="62"/>
      <c r="AL77" s="71">
        <f t="shared" si="95"/>
        <v>0</v>
      </c>
      <c r="AM77" s="71">
        <f t="shared" ca="1" si="137"/>
        <v>122</v>
      </c>
      <c r="AN77" s="63"/>
      <c r="AO77" s="72" t="str">
        <f t="shared" ca="1" si="97"/>
        <v/>
      </c>
      <c r="AP77" s="63"/>
      <c r="AQ77" s="73"/>
      <c r="AR77" s="70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2"/>
      <c r="BE77" s="71">
        <f t="shared" si="144"/>
        <v>0</v>
      </c>
      <c r="BF77" s="71">
        <f t="shared" si="144"/>
        <v>0</v>
      </c>
      <c r="BG77" s="71">
        <f t="shared" si="99"/>
        <v>0</v>
      </c>
      <c r="BH77" s="74" t="str">
        <f t="shared" si="100"/>
        <v xml:space="preserve"> </v>
      </c>
      <c r="BI77" s="75" t="str">
        <f t="shared" si="101"/>
        <v xml:space="preserve"> </v>
      </c>
      <c r="BJ77" s="71">
        <f t="shared" si="102"/>
        <v>0</v>
      </c>
      <c r="BK77" s="75" t="str">
        <f t="shared" si="103"/>
        <v xml:space="preserve"> </v>
      </c>
      <c r="BL77" s="76">
        <f t="shared" si="145"/>
        <v>0</v>
      </c>
      <c r="BM77" s="77">
        <f t="shared" si="145"/>
        <v>0</v>
      </c>
      <c r="BN77" s="78"/>
      <c r="BO77" s="67"/>
      <c r="BP77" s="67"/>
      <c r="BQ77" s="63"/>
      <c r="BR77" s="63"/>
      <c r="BS77" s="74" t="str">
        <f t="shared" si="108"/>
        <v xml:space="preserve"> </v>
      </c>
      <c r="BT77" s="79" t="s">
        <v>221</v>
      </c>
      <c r="BU77" s="79" t="s">
        <v>221</v>
      </c>
      <c r="BV77" s="80">
        <v>0</v>
      </c>
      <c r="BW77" s="81">
        <v>0</v>
      </c>
      <c r="BX77" s="82"/>
      <c r="BY77" s="83"/>
      <c r="BZ77" s="83"/>
      <c r="CA77" s="84"/>
      <c r="CB77" s="84"/>
      <c r="CC77" s="74" t="str">
        <f t="shared" si="109"/>
        <v xml:space="preserve"> </v>
      </c>
      <c r="CD77" s="79" t="s">
        <v>221</v>
      </c>
      <c r="CE77" s="81">
        <v>0</v>
      </c>
      <c r="CF77" s="85"/>
      <c r="CG77" s="85"/>
      <c r="CH77" s="85"/>
      <c r="CI77" s="78"/>
      <c r="CJ77" s="78"/>
      <c r="CK77" s="74" t="str">
        <f t="shared" si="110"/>
        <v xml:space="preserve"> </v>
      </c>
      <c r="CL77" s="79" t="s">
        <v>221</v>
      </c>
      <c r="CM77" s="79" t="s">
        <v>221</v>
      </c>
      <c r="CN77" s="86" t="s">
        <v>221</v>
      </c>
      <c r="CO77" s="81">
        <v>0</v>
      </c>
      <c r="CP77" s="87"/>
      <c r="CQ77" s="83"/>
      <c r="CR77" s="83"/>
      <c r="CS77" s="82"/>
      <c r="CT77" s="82"/>
      <c r="CU77" s="74" t="str">
        <f t="shared" si="111"/>
        <v xml:space="preserve"> </v>
      </c>
      <c r="CV77" s="79" t="s">
        <v>221</v>
      </c>
      <c r="CW77" s="79" t="s">
        <v>221</v>
      </c>
      <c r="CX77" s="88" t="s">
        <v>221</v>
      </c>
      <c r="CY77" s="81">
        <v>0</v>
      </c>
      <c r="CZ77" s="89"/>
      <c r="DA77" s="67"/>
      <c r="DB77" s="67"/>
      <c r="DC77" s="78"/>
      <c r="DD77" s="78"/>
      <c r="DE77" s="74" t="str">
        <f t="shared" si="112"/>
        <v xml:space="preserve"> </v>
      </c>
      <c r="DF77" s="79" t="s">
        <v>221</v>
      </c>
      <c r="DG77" s="79" t="s">
        <v>221</v>
      </c>
      <c r="DH77" s="79" t="s">
        <v>221</v>
      </c>
      <c r="DI77" s="81">
        <v>0</v>
      </c>
      <c r="DJ77" s="87"/>
      <c r="DK77" s="83"/>
      <c r="DL77" s="83"/>
      <c r="DM77" s="82"/>
      <c r="DN77" s="82"/>
      <c r="DO77" s="74" t="str">
        <f t="shared" si="113"/>
        <v xml:space="preserve"> </v>
      </c>
      <c r="DP77" s="79" t="s">
        <v>221</v>
      </c>
      <c r="DQ77" s="79" t="s">
        <v>221</v>
      </c>
      <c r="DR77" s="79" t="s">
        <v>221</v>
      </c>
      <c r="DS77" s="81">
        <v>0</v>
      </c>
      <c r="DT77" s="89"/>
      <c r="DU77" s="67"/>
      <c r="DV77" s="67"/>
      <c r="DW77" s="78"/>
      <c r="DX77" s="78"/>
      <c r="DY77" s="74" t="str">
        <f t="shared" si="114"/>
        <v xml:space="preserve"> </v>
      </c>
      <c r="DZ77" s="94"/>
      <c r="EA77" s="94"/>
      <c r="EB77" s="94"/>
      <c r="EC77" s="94"/>
      <c r="ED77" s="87"/>
      <c r="EE77" s="83"/>
      <c r="EF77" s="83"/>
      <c r="EG77" s="82"/>
      <c r="EH77" s="82"/>
      <c r="EI77" s="74" t="str">
        <f t="shared" si="105"/>
        <v xml:space="preserve"> </v>
      </c>
      <c r="EJ77" s="92"/>
      <c r="EK77" s="92"/>
      <c r="EL77" s="92"/>
      <c r="EM77" s="92"/>
      <c r="EN77" s="89"/>
      <c r="EO77" s="67"/>
      <c r="EP77" s="67"/>
      <c r="EQ77" s="78"/>
      <c r="ER77" s="78"/>
      <c r="ES77" s="74" t="str">
        <f t="shared" si="106"/>
        <v xml:space="preserve"> </v>
      </c>
      <c r="ET77" s="94"/>
      <c r="EU77" s="94"/>
      <c r="EV77" s="94">
        <v>0</v>
      </c>
      <c r="EW77" s="76">
        <v>0</v>
      </c>
      <c r="EX77" s="87"/>
      <c r="EY77" s="83"/>
      <c r="EZ77" s="83"/>
      <c r="FA77" s="82"/>
      <c r="FB77" s="82"/>
      <c r="FC77" s="74" t="str">
        <f t="shared" si="115"/>
        <v xml:space="preserve"> </v>
      </c>
      <c r="FD77" s="92"/>
      <c r="FE77" s="92"/>
      <c r="FF77" s="92"/>
      <c r="FG77" s="92"/>
      <c r="FH77" s="76">
        <f t="shared" si="116"/>
        <v>0</v>
      </c>
      <c r="FI77" s="89"/>
      <c r="FJ77" s="67"/>
      <c r="FK77" s="67"/>
      <c r="FL77" s="78"/>
      <c r="FM77" s="78"/>
      <c r="FN77" s="74" t="str">
        <f t="shared" si="117"/>
        <v xml:space="preserve"> </v>
      </c>
      <c r="FO77" s="94"/>
      <c r="FP77" s="94"/>
      <c r="FQ77" s="94"/>
      <c r="FR77" s="94"/>
      <c r="FS77" s="76">
        <f t="shared" si="118"/>
        <v>0</v>
      </c>
      <c r="FT77" s="87"/>
      <c r="FU77" s="83"/>
      <c r="FV77" s="83"/>
      <c r="FW77" s="82"/>
      <c r="FX77" s="82"/>
      <c r="FY77" s="74" t="str">
        <f t="shared" si="119"/>
        <v xml:space="preserve"> </v>
      </c>
      <c r="FZ77" s="92"/>
      <c r="GA77" s="92"/>
      <c r="GB77" s="92"/>
      <c r="GC77" s="92"/>
      <c r="GD77" s="76">
        <f t="shared" si="120"/>
        <v>0</v>
      </c>
      <c r="GE77" s="62"/>
      <c r="GF77" s="96" t="s">
        <v>221</v>
      </c>
      <c r="GG77" s="96" t="s">
        <v>221</v>
      </c>
      <c r="GH77" s="63"/>
      <c r="GI77" s="63"/>
      <c r="GJ77" s="63"/>
      <c r="GK77" s="97">
        <f t="shared" si="84"/>
        <v>0</v>
      </c>
      <c r="GL77" s="98"/>
      <c r="GM77" s="98"/>
      <c r="GN77" s="97">
        <f t="shared" si="121"/>
        <v>0</v>
      </c>
      <c r="GO77" s="97" t="str">
        <f t="shared" si="122"/>
        <v xml:space="preserve"> </v>
      </c>
      <c r="GP77" s="62"/>
      <c r="GQ77" s="63"/>
      <c r="GR77" s="63"/>
      <c r="GS77" s="63"/>
      <c r="GT77" s="63"/>
      <c r="GU77" s="63"/>
      <c r="GV77" s="63"/>
      <c r="GW77" s="63"/>
      <c r="GX77" s="63"/>
      <c r="GY77" s="65" t="str">
        <f t="shared" si="138"/>
        <v/>
      </c>
      <c r="GZ77" s="65" t="str">
        <f t="shared" si="139"/>
        <v/>
      </c>
      <c r="HA77" s="63"/>
      <c r="HB77" s="63"/>
      <c r="HC77" s="63"/>
      <c r="HD77" s="63"/>
      <c r="HE77" s="63"/>
      <c r="HF77" s="63"/>
      <c r="HG77" s="63"/>
      <c r="HH77" s="63"/>
      <c r="HI77" s="63"/>
      <c r="HJ77" s="63"/>
      <c r="HK77" s="63"/>
      <c r="HL77" s="65" t="str">
        <f t="shared" si="140"/>
        <v/>
      </c>
      <c r="HM77" s="65" t="str">
        <f t="shared" si="124"/>
        <v/>
      </c>
      <c r="HN77" s="65" t="str">
        <f t="shared" si="141"/>
        <v/>
      </c>
      <c r="HO77" s="65" t="str">
        <f t="shared" si="142"/>
        <v/>
      </c>
      <c r="HP77" s="99" t="str">
        <f t="shared" si="130"/>
        <v/>
      </c>
      <c r="HQ77" s="99" t="str">
        <f t="shared" si="143"/>
        <v/>
      </c>
      <c r="HR77" s="63"/>
      <c r="HS77" s="63"/>
      <c r="HT77" s="63"/>
      <c r="HU77" s="63"/>
      <c r="HV77" s="63"/>
      <c r="HW77" s="63"/>
      <c r="HX77" s="63"/>
      <c r="HY77" s="63"/>
      <c r="HZ77" s="63"/>
      <c r="IA77" s="63"/>
      <c r="IB77" s="63"/>
      <c r="IC77" s="63"/>
      <c r="ID77" s="63"/>
      <c r="IE77" s="63"/>
      <c r="IF77" s="63"/>
      <c r="IG77" s="63"/>
      <c r="IH77" s="63"/>
      <c r="II77" s="63"/>
      <c r="IJ77" s="63"/>
      <c r="IK77" s="63"/>
      <c r="IL77" s="63"/>
      <c r="IM77" s="62"/>
      <c r="IN77" s="101"/>
      <c r="IO77" s="101"/>
      <c r="IP77" s="63"/>
      <c r="IQ77" s="63"/>
      <c r="IR77" s="63"/>
      <c r="IS77" s="63"/>
      <c r="IT77" s="63"/>
      <c r="IU77" s="63"/>
      <c r="IV77" s="63"/>
      <c r="IW77" s="63"/>
      <c r="IX77" s="63"/>
      <c r="IY77" s="63"/>
      <c r="IZ77" s="63"/>
      <c r="JA77" s="65">
        <f t="shared" si="107"/>
        <v>0</v>
      </c>
      <c r="JB77" s="63"/>
      <c r="JC77" s="101"/>
      <c r="JD77" s="101"/>
      <c r="JE77" s="63"/>
      <c r="JF77" s="63"/>
      <c r="JG77" s="63"/>
      <c r="JH77" s="63"/>
      <c r="JI77" s="63"/>
      <c r="JJ77" s="63"/>
      <c r="JK77" s="63"/>
      <c r="JL77" s="63"/>
      <c r="JM77" s="63"/>
      <c r="JN77" s="63"/>
      <c r="JO77" s="63"/>
      <c r="JP77" s="65">
        <f t="shared" si="133"/>
        <v>0</v>
      </c>
      <c r="JQ77" s="63"/>
      <c r="LM77" s="205"/>
      <c r="LN77" s="102">
        <f>IFERROR(ROWS($IL$8:IL77)," ")</f>
        <v>70</v>
      </c>
      <c r="LO77" s="103" t="str">
        <f>IFERROR(IF([1]Checklist!$C$3='GenInfo (2)'!E77,'GenInfo (2)'!LN77," ")," ")</f>
        <v xml:space="preserve"> </v>
      </c>
      <c r="LP77" s="104" t="str">
        <f>IFERROR(SMALL($LO$8:$LO$94,ROWS($IL$8:IL77))," ")</f>
        <v xml:space="preserve"> </v>
      </c>
      <c r="LQ77" s="102">
        <f>IFERROR(ROWS($IL$8:IL77)," ")</f>
        <v>70</v>
      </c>
      <c r="LR77" s="103" t="str">
        <f>IFERROR(IF([1]Checklist!$C$4='GenInfo (2)'!E77,'GenInfo (2)'!LQ77," ")," ")</f>
        <v xml:space="preserve"> </v>
      </c>
      <c r="LS77" s="104" t="str">
        <f>IFERROR(SMALL($LR$8:$LR$94,ROWS($IL$8:IL77))," ")</f>
        <v xml:space="preserve"> </v>
      </c>
      <c r="LT77" s="102">
        <f>IFERROR(ROWS($IL$8:IL77)," ")</f>
        <v>70</v>
      </c>
      <c r="LU77" s="103" t="str">
        <f>IFERROR(IF([1]Checklist!$C$5='GenInfo (2)'!E77,'GenInfo (2)'!LT77," ")," ")</f>
        <v xml:space="preserve"> </v>
      </c>
      <c r="LV77" s="104" t="str">
        <f>IFERROR(SMALL($LU$8:$LU$94,ROWS($IL$8:IL77))," ")</f>
        <v xml:space="preserve"> </v>
      </c>
      <c r="LW77" s="102">
        <f>IFERROR(ROWS($IL$8:IL77)," ")</f>
        <v>70</v>
      </c>
      <c r="LX77" s="103" t="str">
        <f>IFERROR(IF([1]Checklist!$C$6='GenInfo (2)'!E77,'GenInfo (2)'!LW77," ")," ")</f>
        <v xml:space="preserve"> </v>
      </c>
      <c r="LY77" s="104" t="str">
        <f>IFERROR(SMALL($LX$8:$LX$94,ROWS($IL$8:IL77))," ")</f>
        <v xml:space="preserve"> </v>
      </c>
      <c r="LZ77" s="102">
        <f>IFERROR(ROWS($IL$8:IL77)," ")</f>
        <v>70</v>
      </c>
      <c r="MA77" s="103" t="str">
        <f>IFERROR(IF([1]Checklist!$C$7='GenInfo (2)'!E77,'GenInfo (2)'!LZ77," ")," ")</f>
        <v xml:space="preserve"> </v>
      </c>
      <c r="MB77" s="104" t="str">
        <f>IFERROR(SMALL($MA$8:$MA$94,ROWS($IL$8:IL77))," ")</f>
        <v xml:space="preserve"> </v>
      </c>
      <c r="MC77" s="102">
        <f>IFERROR(ROWS($IL$8:IL77)," ")</f>
        <v>70</v>
      </c>
      <c r="MD77" s="103" t="str">
        <f>IFERROR(IF([1]Checklist!$C$8='GenInfo (2)'!E77,'GenInfo (2)'!MC77," ")," ")</f>
        <v xml:space="preserve"> </v>
      </c>
      <c r="ME77" s="104" t="str">
        <f>IFERROR(SMALL($MD$8:$MD$94,ROWS($IL$8:IL77))," ")</f>
        <v xml:space="preserve"> </v>
      </c>
      <c r="MF77" s="102">
        <f>IFERROR(ROWS($IL$8:IL77)," ")</f>
        <v>70</v>
      </c>
      <c r="MG77" s="103" t="str">
        <f>IFERROR(IF([1]Checklist!$C$9='GenInfo (2)'!E77,'GenInfo (2)'!MF77," ")," ")</f>
        <v xml:space="preserve"> </v>
      </c>
      <c r="MH77" s="104" t="str">
        <f>IFERROR(SMALL($MG$8:$MG$94,ROWS($IL$8:IL77))," ")</f>
        <v xml:space="preserve"> </v>
      </c>
      <c r="MI77" s="102">
        <f>IFERROR(ROWS($IL$8:$IL77)," ")</f>
        <v>70</v>
      </c>
      <c r="MJ77" s="103" t="str">
        <f>IFERROR(IF([1]Checklist!$C$10='GenInfo (2)'!E77,'GenInfo (2)'!MI77," ")," ")</f>
        <v xml:space="preserve"> </v>
      </c>
      <c r="MK77" s="104" t="str">
        <f>IFERROR(SMALL($MJ$8:$MJ$94,ROWS($IL$8:IL77))," ")</f>
        <v xml:space="preserve"> </v>
      </c>
      <c r="ML77" s="102">
        <f>IFERROR(ROWS($IL$8:IL77)," ")</f>
        <v>70</v>
      </c>
      <c r="MM77" s="103" t="str">
        <f>IFERROR(IF([1]Checklist!$C$11='GenInfo (2)'!E77,'GenInfo (2)'!ML77," ")," ")</f>
        <v xml:space="preserve"> </v>
      </c>
      <c r="MN77" s="104" t="str">
        <f>IFERROR(SMALL($MM$8:$MM$94,ROWS($IL$8:IL77))," ")</f>
        <v xml:space="preserve"> </v>
      </c>
      <c r="MO77" s="102">
        <f>IFERROR(ROWS($IL$8:IL77)," ")</f>
        <v>70</v>
      </c>
      <c r="MP77" s="103" t="str">
        <f>IFERROR(IF([1]Checklist!$C$12='GenInfo (2)'!E77,'GenInfo (2)'!MO77," ")," ")</f>
        <v xml:space="preserve"> </v>
      </c>
      <c r="MQ77" s="104" t="str">
        <f>IFERROR(SMALL($MP$8:$MP$94,ROWS($IL$8:IL77))," ")</f>
        <v xml:space="preserve"> </v>
      </c>
      <c r="MR77" s="102">
        <f>IFERROR(ROWS($IL$8:IL77)," ")</f>
        <v>70</v>
      </c>
      <c r="MS77" s="103" t="str">
        <f>IFERROR(IF([1]Checklist!$C$13='GenInfo (2)'!E77,'GenInfo (2)'!MR77," ")," ")</f>
        <v xml:space="preserve"> </v>
      </c>
      <c r="MT77" s="104" t="str">
        <f>IFERROR(SMALL($MS$8:$MS$94,ROWS($IL$8:IL77))," ")</f>
        <v xml:space="preserve"> </v>
      </c>
      <c r="MU77" s="102">
        <f>IFERROR(ROWS($IL$8:IL77)," ")</f>
        <v>70</v>
      </c>
      <c r="MV77" s="103" t="str">
        <f>IFERROR(IF([1]Checklist!$C$14='GenInfo (2)'!E77,'GenInfo (2)'!MU77," ")," ")</f>
        <v xml:space="preserve"> </v>
      </c>
      <c r="MW77" s="104" t="str">
        <f>IFERROR(SMALL($MV$8:$MV$94,ROWS($IL$8:IL77))," ")</f>
        <v xml:space="preserve"> </v>
      </c>
      <c r="MX77" s="102">
        <f>IFERROR(ROWS($IL$8:IL77)," ")</f>
        <v>70</v>
      </c>
      <c r="MY77" s="103" t="str">
        <f>IFERROR(IF([1]Checklist!$C$15='GenInfo (2)'!E77,'GenInfo (2)'!MX77," ")," ")</f>
        <v xml:space="preserve"> </v>
      </c>
      <c r="MZ77" s="104" t="str">
        <f>IFERROR(SMALL($MY$8:$MY$94,ROWS($IL$8:IL77))," ")</f>
        <v xml:space="preserve"> </v>
      </c>
      <c r="NA77" s="102">
        <f>IFERROR(ROWS($IL$8:IL77)," ")</f>
        <v>70</v>
      </c>
      <c r="NB77" s="103" t="str">
        <f>IFERROR(IF([1]Checklist!$C$16='GenInfo (2)'!E77,'GenInfo (2)'!NA77," ")," ")</f>
        <v xml:space="preserve"> </v>
      </c>
      <c r="NC77" s="104" t="str">
        <f>IFERROR(SMALL($NB$8:$NB$94,ROWS($IL$8:IL77))," ")</f>
        <v xml:space="preserve"> </v>
      </c>
      <c r="ND77" s="102">
        <f>IFERROR(ROWS($IL$8:IL77)," ")</f>
        <v>70</v>
      </c>
      <c r="NE77" s="103" t="str">
        <f>IFERROR(IF([1]Checklist!$C$17='GenInfo (2)'!E77,'GenInfo (2)'!ND77," ")," ")</f>
        <v xml:space="preserve"> </v>
      </c>
      <c r="NF77" s="104" t="str">
        <f>IFERROR(SMALL($NE$8:$NE$94,ROWS($IL$8:IL77))," ")</f>
        <v xml:space="preserve"> </v>
      </c>
    </row>
    <row r="78" spans="5:370" ht="14.25" x14ac:dyDescent="0.45">
      <c r="E78" s="64"/>
      <c r="F78" s="63"/>
      <c r="G78" s="64"/>
      <c r="H78" s="63"/>
      <c r="I78" s="63"/>
      <c r="J78" s="63"/>
      <c r="K78" s="62"/>
      <c r="L78" s="67"/>
      <c r="M78" s="67"/>
      <c r="N78" s="67"/>
      <c r="O78" s="68"/>
      <c r="P78" s="67"/>
      <c r="Q78" s="67"/>
      <c r="R78" s="63"/>
      <c r="S78" s="67"/>
      <c r="T78" s="63"/>
      <c r="U78" s="62"/>
      <c r="V78" s="63"/>
      <c r="W78" s="63"/>
      <c r="X78" s="69"/>
      <c r="Y78" s="63"/>
      <c r="Z78" s="69"/>
      <c r="AA78" s="62"/>
      <c r="AB78" s="63"/>
      <c r="AC78" s="63"/>
      <c r="AD78" s="63"/>
      <c r="AE78" s="63"/>
      <c r="AF78" s="63"/>
      <c r="AG78" s="63"/>
      <c r="AH78" s="63"/>
      <c r="AI78" s="63"/>
      <c r="AJ78" s="63"/>
      <c r="AK78" s="62"/>
      <c r="AL78" s="71">
        <f t="shared" si="95"/>
        <v>0</v>
      </c>
      <c r="AM78" s="71">
        <f t="shared" ca="1" si="137"/>
        <v>122</v>
      </c>
      <c r="AN78" s="63"/>
      <c r="AO78" s="72" t="str">
        <f t="shared" ca="1" si="97"/>
        <v/>
      </c>
      <c r="AP78" s="63"/>
      <c r="AQ78" s="73"/>
      <c r="AR78" s="70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2"/>
      <c r="BE78" s="71">
        <f t="shared" si="144"/>
        <v>0</v>
      </c>
      <c r="BF78" s="71">
        <f t="shared" si="144"/>
        <v>0</v>
      </c>
      <c r="BG78" s="71">
        <f t="shared" si="99"/>
        <v>0</v>
      </c>
      <c r="BH78" s="74" t="str">
        <f t="shared" si="100"/>
        <v xml:space="preserve"> </v>
      </c>
      <c r="BI78" s="75" t="str">
        <f t="shared" si="101"/>
        <v xml:space="preserve"> </v>
      </c>
      <c r="BJ78" s="71">
        <f t="shared" si="102"/>
        <v>0</v>
      </c>
      <c r="BK78" s="75" t="str">
        <f t="shared" si="103"/>
        <v xml:space="preserve"> </v>
      </c>
      <c r="BL78" s="76">
        <f t="shared" si="145"/>
        <v>0</v>
      </c>
      <c r="BM78" s="77">
        <f t="shared" si="145"/>
        <v>0</v>
      </c>
      <c r="BN78" s="78"/>
      <c r="BO78" s="67"/>
      <c r="BP78" s="67"/>
      <c r="BQ78" s="63"/>
      <c r="BR78" s="63"/>
      <c r="BS78" s="74" t="str">
        <f t="shared" si="108"/>
        <v xml:space="preserve"> </v>
      </c>
      <c r="BT78" s="79" t="s">
        <v>221</v>
      </c>
      <c r="BU78" s="79" t="s">
        <v>221</v>
      </c>
      <c r="BV78" s="80">
        <v>0</v>
      </c>
      <c r="BW78" s="81">
        <v>0</v>
      </c>
      <c r="BX78" s="82"/>
      <c r="BY78" s="83"/>
      <c r="BZ78" s="83"/>
      <c r="CA78" s="84"/>
      <c r="CB78" s="84"/>
      <c r="CC78" s="74" t="str">
        <f t="shared" si="109"/>
        <v xml:space="preserve"> </v>
      </c>
      <c r="CD78" s="79" t="s">
        <v>221</v>
      </c>
      <c r="CE78" s="81">
        <v>0</v>
      </c>
      <c r="CF78" s="85"/>
      <c r="CG78" s="85"/>
      <c r="CH78" s="85"/>
      <c r="CI78" s="78"/>
      <c r="CJ78" s="78"/>
      <c r="CK78" s="74" t="str">
        <f t="shared" si="110"/>
        <v xml:space="preserve"> </v>
      </c>
      <c r="CL78" s="79" t="s">
        <v>221</v>
      </c>
      <c r="CM78" s="79" t="s">
        <v>221</v>
      </c>
      <c r="CN78" s="86" t="s">
        <v>221</v>
      </c>
      <c r="CO78" s="81">
        <v>0</v>
      </c>
      <c r="CP78" s="87"/>
      <c r="CQ78" s="83"/>
      <c r="CR78" s="83"/>
      <c r="CS78" s="82"/>
      <c r="CT78" s="82"/>
      <c r="CU78" s="74" t="str">
        <f t="shared" si="111"/>
        <v xml:space="preserve"> </v>
      </c>
      <c r="CV78" s="79" t="s">
        <v>221</v>
      </c>
      <c r="CW78" s="79" t="s">
        <v>221</v>
      </c>
      <c r="CX78" s="88" t="s">
        <v>221</v>
      </c>
      <c r="CY78" s="81">
        <v>0</v>
      </c>
      <c r="CZ78" s="89"/>
      <c r="DA78" s="67"/>
      <c r="DB78" s="67"/>
      <c r="DC78" s="78"/>
      <c r="DD78" s="78"/>
      <c r="DE78" s="74" t="str">
        <f t="shared" si="112"/>
        <v xml:space="preserve"> </v>
      </c>
      <c r="DF78" s="79" t="s">
        <v>221</v>
      </c>
      <c r="DG78" s="79" t="s">
        <v>221</v>
      </c>
      <c r="DH78" s="79" t="s">
        <v>221</v>
      </c>
      <c r="DI78" s="81">
        <v>0</v>
      </c>
      <c r="DJ78" s="87"/>
      <c r="DK78" s="83"/>
      <c r="DL78" s="83"/>
      <c r="DM78" s="82"/>
      <c r="DN78" s="82"/>
      <c r="DO78" s="74" t="str">
        <f t="shared" si="113"/>
        <v xml:space="preserve"> </v>
      </c>
      <c r="DP78" s="79" t="s">
        <v>221</v>
      </c>
      <c r="DQ78" s="79" t="s">
        <v>221</v>
      </c>
      <c r="DR78" s="79" t="s">
        <v>221</v>
      </c>
      <c r="DS78" s="81">
        <v>0</v>
      </c>
      <c r="DT78" s="89"/>
      <c r="DU78" s="67"/>
      <c r="DV78" s="67"/>
      <c r="DW78" s="78"/>
      <c r="DX78" s="78"/>
      <c r="DY78" s="74" t="str">
        <f t="shared" si="114"/>
        <v xml:space="preserve"> </v>
      </c>
      <c r="DZ78" s="94"/>
      <c r="EA78" s="94"/>
      <c r="EB78" s="94"/>
      <c r="EC78" s="94"/>
      <c r="ED78" s="87"/>
      <c r="EE78" s="83"/>
      <c r="EF78" s="83"/>
      <c r="EG78" s="82"/>
      <c r="EH78" s="82"/>
      <c r="EI78" s="74" t="str">
        <f t="shared" si="105"/>
        <v xml:space="preserve"> </v>
      </c>
      <c r="EJ78" s="92"/>
      <c r="EK78" s="92"/>
      <c r="EL78" s="92"/>
      <c r="EM78" s="92"/>
      <c r="EN78" s="89"/>
      <c r="EO78" s="67"/>
      <c r="EP78" s="67"/>
      <c r="EQ78" s="78"/>
      <c r="ER78" s="78"/>
      <c r="ES78" s="74" t="str">
        <f t="shared" si="106"/>
        <v xml:space="preserve"> </v>
      </c>
      <c r="ET78" s="94"/>
      <c r="EU78" s="94"/>
      <c r="EV78" s="94">
        <v>0</v>
      </c>
      <c r="EW78" s="76">
        <v>0</v>
      </c>
      <c r="EX78" s="87"/>
      <c r="EY78" s="83"/>
      <c r="EZ78" s="83"/>
      <c r="FA78" s="82"/>
      <c r="FB78" s="82"/>
      <c r="FC78" s="74" t="str">
        <f t="shared" si="115"/>
        <v xml:space="preserve"> </v>
      </c>
      <c r="FD78" s="92"/>
      <c r="FE78" s="92"/>
      <c r="FF78" s="92"/>
      <c r="FG78" s="92"/>
      <c r="FH78" s="76">
        <f t="shared" si="116"/>
        <v>0</v>
      </c>
      <c r="FI78" s="89"/>
      <c r="FJ78" s="67"/>
      <c r="FK78" s="67"/>
      <c r="FL78" s="78"/>
      <c r="FM78" s="78"/>
      <c r="FN78" s="74" t="str">
        <f t="shared" si="117"/>
        <v xml:space="preserve"> </v>
      </c>
      <c r="FO78" s="94"/>
      <c r="FP78" s="94"/>
      <c r="FQ78" s="94"/>
      <c r="FR78" s="94"/>
      <c r="FS78" s="76">
        <f t="shared" si="118"/>
        <v>0</v>
      </c>
      <c r="FT78" s="87"/>
      <c r="FU78" s="83"/>
      <c r="FV78" s="83"/>
      <c r="FW78" s="82"/>
      <c r="FX78" s="82"/>
      <c r="FY78" s="74" t="str">
        <f t="shared" si="119"/>
        <v xml:space="preserve"> </v>
      </c>
      <c r="FZ78" s="92"/>
      <c r="GA78" s="92"/>
      <c r="GB78" s="92"/>
      <c r="GC78" s="92"/>
      <c r="GD78" s="76">
        <f t="shared" si="120"/>
        <v>0</v>
      </c>
      <c r="GE78" s="62"/>
      <c r="GF78" s="96" t="s">
        <v>221</v>
      </c>
      <c r="GG78" s="96" t="s">
        <v>221</v>
      </c>
      <c r="GH78" s="63"/>
      <c r="GI78" s="63"/>
      <c r="GJ78" s="63"/>
      <c r="GK78" s="97">
        <f t="shared" si="84"/>
        <v>0</v>
      </c>
      <c r="GL78" s="98"/>
      <c r="GM78" s="98"/>
      <c r="GN78" s="97">
        <f t="shared" si="121"/>
        <v>0</v>
      </c>
      <c r="GO78" s="97" t="str">
        <f t="shared" si="122"/>
        <v xml:space="preserve"> </v>
      </c>
      <c r="GP78" s="62"/>
      <c r="GQ78" s="63"/>
      <c r="GR78" s="63"/>
      <c r="GS78" s="63"/>
      <c r="GT78" s="63"/>
      <c r="GU78" s="63"/>
      <c r="GV78" s="63"/>
      <c r="GW78" s="63"/>
      <c r="GX78" s="63"/>
      <c r="GY78" s="65" t="str">
        <f t="shared" si="138"/>
        <v/>
      </c>
      <c r="GZ78" s="65" t="str">
        <f t="shared" si="139"/>
        <v/>
      </c>
      <c r="HA78" s="63"/>
      <c r="HB78" s="63"/>
      <c r="HC78" s="63"/>
      <c r="HD78" s="63"/>
      <c r="HE78" s="63"/>
      <c r="HF78" s="63"/>
      <c r="HG78" s="63"/>
      <c r="HH78" s="63"/>
      <c r="HI78" s="63"/>
      <c r="HJ78" s="63"/>
      <c r="HK78" s="63"/>
      <c r="HL78" s="65" t="str">
        <f t="shared" si="140"/>
        <v/>
      </c>
      <c r="HM78" s="65" t="str">
        <f t="shared" si="124"/>
        <v/>
      </c>
      <c r="HN78" s="65" t="str">
        <f t="shared" si="141"/>
        <v/>
      </c>
      <c r="HO78" s="65" t="str">
        <f t="shared" si="142"/>
        <v/>
      </c>
      <c r="HP78" s="99" t="str">
        <f t="shared" si="130"/>
        <v/>
      </c>
      <c r="HQ78" s="99" t="str">
        <f t="shared" si="143"/>
        <v/>
      </c>
      <c r="HR78" s="63"/>
      <c r="HS78" s="63"/>
      <c r="HT78" s="63"/>
      <c r="HU78" s="63"/>
      <c r="HV78" s="63"/>
      <c r="HW78" s="63"/>
      <c r="HX78" s="63"/>
      <c r="HY78" s="63"/>
      <c r="HZ78" s="63"/>
      <c r="IA78" s="63"/>
      <c r="IB78" s="63"/>
      <c r="IC78" s="63"/>
      <c r="ID78" s="63"/>
      <c r="IE78" s="63"/>
      <c r="IF78" s="63"/>
      <c r="IG78" s="63"/>
      <c r="IH78" s="63"/>
      <c r="II78" s="63"/>
      <c r="IJ78" s="63"/>
      <c r="IK78" s="63"/>
      <c r="IL78" s="63"/>
      <c r="IM78" s="62"/>
      <c r="IN78" s="101"/>
      <c r="IO78" s="101"/>
      <c r="IP78" s="63"/>
      <c r="IQ78" s="63"/>
      <c r="IR78" s="63"/>
      <c r="IS78" s="63"/>
      <c r="IT78" s="63"/>
      <c r="IU78" s="63"/>
      <c r="IV78" s="63"/>
      <c r="IW78" s="63"/>
      <c r="IX78" s="63"/>
      <c r="IY78" s="63"/>
      <c r="IZ78" s="63"/>
      <c r="JA78" s="65">
        <f t="shared" si="107"/>
        <v>0</v>
      </c>
      <c r="JB78" s="63"/>
      <c r="JC78" s="101"/>
      <c r="JD78" s="101"/>
      <c r="JE78" s="63"/>
      <c r="JF78" s="63"/>
      <c r="JG78" s="63"/>
      <c r="JH78" s="63"/>
      <c r="JI78" s="63"/>
      <c r="JJ78" s="63"/>
      <c r="JK78" s="63"/>
      <c r="JL78" s="63"/>
      <c r="JM78" s="63"/>
      <c r="JN78" s="63"/>
      <c r="JO78" s="63"/>
      <c r="JP78" s="65">
        <f t="shared" si="133"/>
        <v>0</v>
      </c>
      <c r="JQ78" s="63"/>
      <c r="LM78" s="205"/>
      <c r="LN78" s="102">
        <f>IFERROR(ROWS($IL$8:IL78)," ")</f>
        <v>71</v>
      </c>
      <c r="LO78" s="103" t="str">
        <f>IFERROR(IF([1]Checklist!$C$3='GenInfo (2)'!E78,'GenInfo (2)'!LN78," ")," ")</f>
        <v xml:space="preserve"> </v>
      </c>
      <c r="LP78" s="104" t="str">
        <f>IFERROR(SMALL($LO$8:$LO$94,ROWS($IL$8:IL78))," ")</f>
        <v xml:space="preserve"> </v>
      </c>
      <c r="LQ78" s="102">
        <f>IFERROR(ROWS($IL$8:IL78)," ")</f>
        <v>71</v>
      </c>
      <c r="LR78" s="103" t="str">
        <f>IFERROR(IF([1]Checklist!$C$4='GenInfo (2)'!E78,'GenInfo (2)'!LQ78," ")," ")</f>
        <v xml:space="preserve"> </v>
      </c>
      <c r="LS78" s="104" t="str">
        <f>IFERROR(SMALL($LR$8:$LR$94,ROWS($IL$8:IL78))," ")</f>
        <v xml:space="preserve"> </v>
      </c>
      <c r="LT78" s="102">
        <f>IFERROR(ROWS($IL$8:IL78)," ")</f>
        <v>71</v>
      </c>
      <c r="LU78" s="103" t="str">
        <f>IFERROR(IF([1]Checklist!$C$5='GenInfo (2)'!E78,'GenInfo (2)'!LT78," ")," ")</f>
        <v xml:space="preserve"> </v>
      </c>
      <c r="LV78" s="104" t="str">
        <f>IFERROR(SMALL($LU$8:$LU$94,ROWS($IL$8:IL78))," ")</f>
        <v xml:space="preserve"> </v>
      </c>
      <c r="LW78" s="102">
        <f>IFERROR(ROWS($IL$8:IL78)," ")</f>
        <v>71</v>
      </c>
      <c r="LX78" s="103" t="str">
        <f>IFERROR(IF([1]Checklist!$C$6='GenInfo (2)'!E78,'GenInfo (2)'!LW78," ")," ")</f>
        <v xml:space="preserve"> </v>
      </c>
      <c r="LY78" s="104" t="str">
        <f>IFERROR(SMALL($LX$8:$LX$94,ROWS($IL$8:IL78))," ")</f>
        <v xml:space="preserve"> </v>
      </c>
      <c r="LZ78" s="102">
        <f>IFERROR(ROWS($IL$8:IL78)," ")</f>
        <v>71</v>
      </c>
      <c r="MA78" s="103" t="str">
        <f>IFERROR(IF([1]Checklist!$C$7='GenInfo (2)'!E78,'GenInfo (2)'!LZ78," ")," ")</f>
        <v xml:space="preserve"> </v>
      </c>
      <c r="MB78" s="104" t="str">
        <f>IFERROR(SMALL($MA$8:$MA$94,ROWS($IL$8:IL78))," ")</f>
        <v xml:space="preserve"> </v>
      </c>
      <c r="MC78" s="102">
        <f>IFERROR(ROWS($IL$8:IL78)," ")</f>
        <v>71</v>
      </c>
      <c r="MD78" s="103" t="str">
        <f>IFERROR(IF([1]Checklist!$C$8='GenInfo (2)'!E78,'GenInfo (2)'!MC78," ")," ")</f>
        <v xml:space="preserve"> </v>
      </c>
      <c r="ME78" s="104" t="str">
        <f>IFERROR(SMALL($MD$8:$MD$94,ROWS($IL$8:IL78))," ")</f>
        <v xml:space="preserve"> </v>
      </c>
      <c r="MF78" s="102">
        <f>IFERROR(ROWS($IL$8:IL78)," ")</f>
        <v>71</v>
      </c>
      <c r="MG78" s="103" t="str">
        <f>IFERROR(IF([1]Checklist!$C$9='GenInfo (2)'!E78,'GenInfo (2)'!MF78," ")," ")</f>
        <v xml:space="preserve"> </v>
      </c>
      <c r="MH78" s="104" t="str">
        <f>IFERROR(SMALL($MG$8:$MG$94,ROWS($IL$8:IL78))," ")</f>
        <v xml:space="preserve"> </v>
      </c>
      <c r="MI78" s="102">
        <f>IFERROR(ROWS($IL$8:$IL78)," ")</f>
        <v>71</v>
      </c>
      <c r="MJ78" s="103" t="str">
        <f>IFERROR(IF([1]Checklist!$C$10='GenInfo (2)'!E78,'GenInfo (2)'!MI78," ")," ")</f>
        <v xml:space="preserve"> </v>
      </c>
      <c r="MK78" s="104" t="str">
        <f>IFERROR(SMALL($MJ$8:$MJ$94,ROWS($IL$8:IL78))," ")</f>
        <v xml:space="preserve"> </v>
      </c>
      <c r="ML78" s="102">
        <f>IFERROR(ROWS($IL$8:IL78)," ")</f>
        <v>71</v>
      </c>
      <c r="MM78" s="103" t="str">
        <f>IFERROR(IF([1]Checklist!$C$11='GenInfo (2)'!E78,'GenInfo (2)'!ML78," ")," ")</f>
        <v xml:space="preserve"> </v>
      </c>
      <c r="MN78" s="104" t="str">
        <f>IFERROR(SMALL($MM$8:$MM$94,ROWS($IL$8:IL78))," ")</f>
        <v xml:space="preserve"> </v>
      </c>
      <c r="MO78" s="102">
        <f>IFERROR(ROWS($IL$8:IL78)," ")</f>
        <v>71</v>
      </c>
      <c r="MP78" s="103" t="str">
        <f>IFERROR(IF([1]Checklist!$C$12='GenInfo (2)'!E78,'GenInfo (2)'!MO78," ")," ")</f>
        <v xml:space="preserve"> </v>
      </c>
      <c r="MQ78" s="104" t="str">
        <f>IFERROR(SMALL($MP$8:$MP$94,ROWS($IL$8:IL78))," ")</f>
        <v xml:space="preserve"> </v>
      </c>
      <c r="MR78" s="102">
        <f>IFERROR(ROWS($IL$8:IL78)," ")</f>
        <v>71</v>
      </c>
      <c r="MS78" s="103" t="str">
        <f>IFERROR(IF([1]Checklist!$C$13='GenInfo (2)'!E78,'GenInfo (2)'!MR78," ")," ")</f>
        <v xml:space="preserve"> </v>
      </c>
      <c r="MT78" s="104" t="str">
        <f>IFERROR(SMALL($MS$8:$MS$94,ROWS($IL$8:IL78))," ")</f>
        <v xml:space="preserve"> </v>
      </c>
      <c r="MU78" s="102">
        <f>IFERROR(ROWS($IL$8:IL78)," ")</f>
        <v>71</v>
      </c>
      <c r="MV78" s="103" t="str">
        <f>IFERROR(IF([1]Checklist!$C$14='GenInfo (2)'!E78,'GenInfo (2)'!MU78," ")," ")</f>
        <v xml:space="preserve"> </v>
      </c>
      <c r="MW78" s="104" t="str">
        <f>IFERROR(SMALL($MV$8:$MV$94,ROWS($IL$8:IL78))," ")</f>
        <v xml:space="preserve"> </v>
      </c>
      <c r="MX78" s="102">
        <f>IFERROR(ROWS($IL$8:IL78)," ")</f>
        <v>71</v>
      </c>
      <c r="MY78" s="103" t="str">
        <f>IFERROR(IF([1]Checklist!$C$15='GenInfo (2)'!E78,'GenInfo (2)'!MX78," ")," ")</f>
        <v xml:space="preserve"> </v>
      </c>
      <c r="MZ78" s="104" t="str">
        <f>IFERROR(SMALL($MY$8:$MY$94,ROWS($IL$8:IL78))," ")</f>
        <v xml:space="preserve"> </v>
      </c>
      <c r="NA78" s="102">
        <f>IFERROR(ROWS($IL$8:IL78)," ")</f>
        <v>71</v>
      </c>
      <c r="NB78" s="103" t="str">
        <f>IFERROR(IF([1]Checklist!$C$16='GenInfo (2)'!E78,'GenInfo (2)'!NA78," ")," ")</f>
        <v xml:space="preserve"> </v>
      </c>
      <c r="NC78" s="104" t="str">
        <f>IFERROR(SMALL($NB$8:$NB$94,ROWS($IL$8:IL78))," ")</f>
        <v xml:space="preserve"> </v>
      </c>
      <c r="ND78" s="102">
        <f>IFERROR(ROWS($IL$8:IL78)," ")</f>
        <v>71</v>
      </c>
      <c r="NE78" s="103" t="str">
        <f>IFERROR(IF([1]Checklist!$C$17='GenInfo (2)'!E78,'GenInfo (2)'!ND78," ")," ")</f>
        <v xml:space="preserve"> </v>
      </c>
      <c r="NF78" s="104" t="str">
        <f>IFERROR(SMALL($NE$8:$NE$94,ROWS($IL$8:IL78))," ")</f>
        <v xml:space="preserve"> </v>
      </c>
    </row>
    <row r="79" spans="5:370" ht="14.25" x14ac:dyDescent="0.45">
      <c r="E79" s="64"/>
      <c r="F79" s="63"/>
      <c r="G79" s="64"/>
      <c r="H79" s="63"/>
      <c r="I79" s="63"/>
      <c r="J79" s="63"/>
      <c r="K79" s="62"/>
      <c r="L79" s="67"/>
      <c r="M79" s="67"/>
      <c r="N79" s="67"/>
      <c r="O79" s="68"/>
      <c r="P79" s="67"/>
      <c r="Q79" s="67"/>
      <c r="R79" s="63"/>
      <c r="S79" s="67"/>
      <c r="T79" s="63"/>
      <c r="U79" s="62"/>
      <c r="V79" s="63"/>
      <c r="W79" s="63"/>
      <c r="X79" s="69"/>
      <c r="Y79" s="63"/>
      <c r="Z79" s="69"/>
      <c r="AA79" s="62"/>
      <c r="AB79" s="63"/>
      <c r="AC79" s="63"/>
      <c r="AD79" s="63"/>
      <c r="AE79" s="63"/>
      <c r="AF79" s="63"/>
      <c r="AG79" s="63"/>
      <c r="AH79" s="63"/>
      <c r="AI79" s="63"/>
      <c r="AJ79" s="63"/>
      <c r="AK79" s="62"/>
      <c r="AL79" s="71">
        <f t="shared" si="95"/>
        <v>0</v>
      </c>
      <c r="AM79" s="71">
        <f t="shared" ca="1" si="137"/>
        <v>122</v>
      </c>
      <c r="AN79" s="63"/>
      <c r="AO79" s="72" t="str">
        <f t="shared" ca="1" si="97"/>
        <v/>
      </c>
      <c r="AP79" s="63"/>
      <c r="AQ79" s="73"/>
      <c r="AR79" s="70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2"/>
      <c r="BE79" s="71">
        <f t="shared" si="144"/>
        <v>0</v>
      </c>
      <c r="BF79" s="71">
        <f t="shared" si="144"/>
        <v>0</v>
      </c>
      <c r="BG79" s="71">
        <f t="shared" si="99"/>
        <v>0</v>
      </c>
      <c r="BH79" s="74" t="str">
        <f t="shared" si="100"/>
        <v xml:space="preserve"> </v>
      </c>
      <c r="BI79" s="75" t="str">
        <f t="shared" si="101"/>
        <v xml:space="preserve"> </v>
      </c>
      <c r="BJ79" s="71">
        <f t="shared" si="102"/>
        <v>0</v>
      </c>
      <c r="BK79" s="75" t="str">
        <f t="shared" si="103"/>
        <v xml:space="preserve"> </v>
      </c>
      <c r="BL79" s="76">
        <f t="shared" si="145"/>
        <v>0</v>
      </c>
      <c r="BM79" s="77">
        <f t="shared" si="145"/>
        <v>0</v>
      </c>
      <c r="BN79" s="78"/>
      <c r="BO79" s="67"/>
      <c r="BP79" s="67"/>
      <c r="BQ79" s="63"/>
      <c r="BR79" s="63"/>
      <c r="BS79" s="74" t="str">
        <f t="shared" si="108"/>
        <v xml:space="preserve"> </v>
      </c>
      <c r="BT79" s="79" t="s">
        <v>221</v>
      </c>
      <c r="BU79" s="79" t="s">
        <v>221</v>
      </c>
      <c r="BV79" s="80">
        <v>0</v>
      </c>
      <c r="BW79" s="81">
        <v>0</v>
      </c>
      <c r="BX79" s="82"/>
      <c r="BY79" s="83"/>
      <c r="BZ79" s="83"/>
      <c r="CA79" s="84"/>
      <c r="CB79" s="84"/>
      <c r="CC79" s="74" t="str">
        <f t="shared" si="109"/>
        <v xml:space="preserve"> </v>
      </c>
      <c r="CD79" s="79" t="s">
        <v>221</v>
      </c>
      <c r="CE79" s="81">
        <v>0</v>
      </c>
      <c r="CF79" s="85"/>
      <c r="CG79" s="85"/>
      <c r="CH79" s="85"/>
      <c r="CI79" s="78"/>
      <c r="CJ79" s="78"/>
      <c r="CK79" s="74" t="str">
        <f t="shared" si="110"/>
        <v xml:space="preserve"> </v>
      </c>
      <c r="CL79" s="79" t="s">
        <v>221</v>
      </c>
      <c r="CM79" s="79" t="s">
        <v>221</v>
      </c>
      <c r="CN79" s="86" t="s">
        <v>221</v>
      </c>
      <c r="CO79" s="81">
        <v>0</v>
      </c>
      <c r="CP79" s="87"/>
      <c r="CQ79" s="83"/>
      <c r="CR79" s="83"/>
      <c r="CS79" s="82"/>
      <c r="CT79" s="82"/>
      <c r="CU79" s="74" t="str">
        <f t="shared" si="111"/>
        <v xml:space="preserve"> </v>
      </c>
      <c r="CV79" s="79" t="s">
        <v>221</v>
      </c>
      <c r="CW79" s="79" t="s">
        <v>221</v>
      </c>
      <c r="CX79" s="88" t="s">
        <v>221</v>
      </c>
      <c r="CY79" s="81">
        <v>0</v>
      </c>
      <c r="CZ79" s="89"/>
      <c r="DA79" s="67"/>
      <c r="DB79" s="67"/>
      <c r="DC79" s="78"/>
      <c r="DD79" s="78"/>
      <c r="DE79" s="74" t="str">
        <f t="shared" si="112"/>
        <v xml:space="preserve"> </v>
      </c>
      <c r="DF79" s="79" t="s">
        <v>221</v>
      </c>
      <c r="DG79" s="79" t="s">
        <v>221</v>
      </c>
      <c r="DH79" s="79" t="s">
        <v>221</v>
      </c>
      <c r="DI79" s="81">
        <v>0</v>
      </c>
      <c r="DJ79" s="87"/>
      <c r="DK79" s="83"/>
      <c r="DL79" s="83"/>
      <c r="DM79" s="82"/>
      <c r="DN79" s="82"/>
      <c r="DO79" s="74" t="str">
        <f t="shared" si="113"/>
        <v xml:space="preserve"> </v>
      </c>
      <c r="DP79" s="79" t="s">
        <v>221</v>
      </c>
      <c r="DQ79" s="79" t="s">
        <v>221</v>
      </c>
      <c r="DR79" s="79" t="s">
        <v>221</v>
      </c>
      <c r="DS79" s="81">
        <v>0</v>
      </c>
      <c r="DT79" s="89"/>
      <c r="DU79" s="67"/>
      <c r="DV79" s="67"/>
      <c r="DW79" s="78"/>
      <c r="DX79" s="78"/>
      <c r="DY79" s="74" t="str">
        <f t="shared" si="114"/>
        <v xml:space="preserve"> </v>
      </c>
      <c r="DZ79" s="94"/>
      <c r="EA79" s="94"/>
      <c r="EB79" s="94"/>
      <c r="EC79" s="94"/>
      <c r="ED79" s="87"/>
      <c r="EE79" s="83"/>
      <c r="EF79" s="83"/>
      <c r="EG79" s="82"/>
      <c r="EH79" s="82"/>
      <c r="EI79" s="74" t="str">
        <f t="shared" si="105"/>
        <v xml:space="preserve"> </v>
      </c>
      <c r="EJ79" s="92"/>
      <c r="EK79" s="92"/>
      <c r="EL79" s="92"/>
      <c r="EM79" s="92"/>
      <c r="EN79" s="89"/>
      <c r="EO79" s="67"/>
      <c r="EP79" s="67"/>
      <c r="EQ79" s="78"/>
      <c r="ER79" s="78"/>
      <c r="ES79" s="74" t="str">
        <f t="shared" si="106"/>
        <v xml:space="preserve"> </v>
      </c>
      <c r="ET79" s="94"/>
      <c r="EU79" s="94"/>
      <c r="EV79" s="94">
        <v>0</v>
      </c>
      <c r="EW79" s="76">
        <v>0</v>
      </c>
      <c r="EX79" s="87"/>
      <c r="EY79" s="83"/>
      <c r="EZ79" s="83"/>
      <c r="FA79" s="82"/>
      <c r="FB79" s="82"/>
      <c r="FC79" s="74" t="str">
        <f t="shared" si="115"/>
        <v xml:space="preserve"> </v>
      </c>
      <c r="FD79" s="92"/>
      <c r="FE79" s="92"/>
      <c r="FF79" s="92"/>
      <c r="FG79" s="92"/>
      <c r="FH79" s="76">
        <f t="shared" si="116"/>
        <v>0</v>
      </c>
      <c r="FI79" s="89"/>
      <c r="FJ79" s="67"/>
      <c r="FK79" s="67"/>
      <c r="FL79" s="78"/>
      <c r="FM79" s="78"/>
      <c r="FN79" s="74" t="str">
        <f t="shared" si="117"/>
        <v xml:space="preserve"> </v>
      </c>
      <c r="FO79" s="94"/>
      <c r="FP79" s="94"/>
      <c r="FQ79" s="94"/>
      <c r="FR79" s="94"/>
      <c r="FS79" s="76">
        <f t="shared" si="118"/>
        <v>0</v>
      </c>
      <c r="FT79" s="87"/>
      <c r="FU79" s="83"/>
      <c r="FV79" s="83"/>
      <c r="FW79" s="82"/>
      <c r="FX79" s="82"/>
      <c r="FY79" s="74" t="str">
        <f t="shared" si="119"/>
        <v xml:space="preserve"> </v>
      </c>
      <c r="FZ79" s="92"/>
      <c r="GA79" s="92"/>
      <c r="GB79" s="92"/>
      <c r="GC79" s="92"/>
      <c r="GD79" s="76">
        <f t="shared" si="120"/>
        <v>0</v>
      </c>
      <c r="GE79" s="62"/>
      <c r="GF79" s="96" t="s">
        <v>221</v>
      </c>
      <c r="GG79" s="96" t="s">
        <v>221</v>
      </c>
      <c r="GH79" s="63"/>
      <c r="GI79" s="63"/>
      <c r="GJ79" s="63"/>
      <c r="GK79" s="97">
        <f t="shared" si="84"/>
        <v>0</v>
      </c>
      <c r="GL79" s="98"/>
      <c r="GM79" s="98"/>
      <c r="GN79" s="97">
        <f t="shared" si="121"/>
        <v>0</v>
      </c>
      <c r="GO79" s="97" t="str">
        <f t="shared" si="122"/>
        <v xml:space="preserve"> </v>
      </c>
      <c r="GP79" s="62"/>
      <c r="GQ79" s="63"/>
      <c r="GR79" s="63"/>
      <c r="GS79" s="63"/>
      <c r="GT79" s="63"/>
      <c r="GU79" s="63"/>
      <c r="GV79" s="63"/>
      <c r="GW79" s="63"/>
      <c r="GX79" s="63"/>
      <c r="GY79" s="65" t="str">
        <f t="shared" si="138"/>
        <v/>
      </c>
      <c r="GZ79" s="65" t="str">
        <f t="shared" si="139"/>
        <v/>
      </c>
      <c r="HA79" s="63"/>
      <c r="HB79" s="63"/>
      <c r="HC79" s="63"/>
      <c r="HD79" s="63"/>
      <c r="HE79" s="63"/>
      <c r="HF79" s="63"/>
      <c r="HG79" s="63"/>
      <c r="HH79" s="63"/>
      <c r="HI79" s="63"/>
      <c r="HJ79" s="63"/>
      <c r="HK79" s="63"/>
      <c r="HL79" s="65" t="str">
        <f t="shared" si="140"/>
        <v/>
      </c>
      <c r="HM79" s="65" t="str">
        <f t="shared" si="124"/>
        <v/>
      </c>
      <c r="HN79" s="65" t="str">
        <f t="shared" si="141"/>
        <v/>
      </c>
      <c r="HO79" s="65" t="str">
        <f t="shared" si="142"/>
        <v/>
      </c>
      <c r="HP79" s="99" t="str">
        <f t="shared" si="130"/>
        <v/>
      </c>
      <c r="HQ79" s="99" t="str">
        <f t="shared" si="143"/>
        <v/>
      </c>
      <c r="HR79" s="63"/>
      <c r="HS79" s="63"/>
      <c r="HT79" s="63"/>
      <c r="HU79" s="63"/>
      <c r="HV79" s="63"/>
      <c r="HW79" s="63"/>
      <c r="HX79" s="63"/>
      <c r="HY79" s="63"/>
      <c r="HZ79" s="63"/>
      <c r="IA79" s="63"/>
      <c r="IB79" s="63"/>
      <c r="IC79" s="63"/>
      <c r="ID79" s="63"/>
      <c r="IE79" s="63"/>
      <c r="IF79" s="63"/>
      <c r="IG79" s="63"/>
      <c r="IH79" s="63"/>
      <c r="II79" s="63"/>
      <c r="IJ79" s="63"/>
      <c r="IK79" s="63"/>
      <c r="IL79" s="63"/>
      <c r="IM79" s="62"/>
      <c r="IN79" s="101"/>
      <c r="IO79" s="101"/>
      <c r="IP79" s="63"/>
      <c r="IQ79" s="63"/>
      <c r="IR79" s="63"/>
      <c r="IS79" s="63"/>
      <c r="IT79" s="63"/>
      <c r="IU79" s="63"/>
      <c r="IV79" s="63"/>
      <c r="IW79" s="63"/>
      <c r="IX79" s="63"/>
      <c r="IY79" s="63"/>
      <c r="IZ79" s="63"/>
      <c r="JA79" s="65">
        <f t="shared" si="107"/>
        <v>0</v>
      </c>
      <c r="JB79" s="63"/>
      <c r="JC79" s="101"/>
      <c r="JD79" s="101"/>
      <c r="JE79" s="63"/>
      <c r="JF79" s="63"/>
      <c r="JG79" s="63"/>
      <c r="JH79" s="63"/>
      <c r="JI79" s="63"/>
      <c r="JJ79" s="63"/>
      <c r="JK79" s="63"/>
      <c r="JL79" s="63"/>
      <c r="JM79" s="63"/>
      <c r="JN79" s="63"/>
      <c r="JO79" s="63"/>
      <c r="JP79" s="65">
        <f t="shared" si="133"/>
        <v>0</v>
      </c>
      <c r="JQ79" s="63"/>
      <c r="LM79" s="205"/>
      <c r="LN79" s="102">
        <f>IFERROR(ROWS($IL$8:IL79)," ")</f>
        <v>72</v>
      </c>
      <c r="LO79" s="103" t="str">
        <f>IFERROR(IF([1]Checklist!$C$3='GenInfo (2)'!E79,'GenInfo (2)'!LN79," ")," ")</f>
        <v xml:space="preserve"> </v>
      </c>
      <c r="LP79" s="104" t="str">
        <f>IFERROR(SMALL($LO$8:$LO$94,ROWS($IL$8:IL79))," ")</f>
        <v xml:space="preserve"> </v>
      </c>
      <c r="LQ79" s="102">
        <f>IFERROR(ROWS($IL$8:IL79)," ")</f>
        <v>72</v>
      </c>
      <c r="LR79" s="103" t="str">
        <f>IFERROR(IF([1]Checklist!$C$4='GenInfo (2)'!E79,'GenInfo (2)'!LQ79," ")," ")</f>
        <v xml:space="preserve"> </v>
      </c>
      <c r="LS79" s="104" t="str">
        <f>IFERROR(SMALL($LR$8:$LR$94,ROWS($IL$8:IL79))," ")</f>
        <v xml:space="preserve"> </v>
      </c>
      <c r="LT79" s="102">
        <f>IFERROR(ROWS($IL$8:IL79)," ")</f>
        <v>72</v>
      </c>
      <c r="LU79" s="103" t="str">
        <f>IFERROR(IF([1]Checklist!$C$5='GenInfo (2)'!E79,'GenInfo (2)'!LT79," ")," ")</f>
        <v xml:space="preserve"> </v>
      </c>
      <c r="LV79" s="104" t="str">
        <f>IFERROR(SMALL($LU$8:$LU$94,ROWS($IL$8:IL79))," ")</f>
        <v xml:space="preserve"> </v>
      </c>
      <c r="LW79" s="102">
        <f>IFERROR(ROWS($IL$8:IL79)," ")</f>
        <v>72</v>
      </c>
      <c r="LX79" s="103" t="str">
        <f>IFERROR(IF([1]Checklist!$C$6='GenInfo (2)'!E79,'GenInfo (2)'!LW79," ")," ")</f>
        <v xml:space="preserve"> </v>
      </c>
      <c r="LY79" s="104" t="str">
        <f>IFERROR(SMALL($LX$8:$LX$94,ROWS($IL$8:IL79))," ")</f>
        <v xml:space="preserve"> </v>
      </c>
      <c r="LZ79" s="102">
        <f>IFERROR(ROWS($IL$8:IL79)," ")</f>
        <v>72</v>
      </c>
      <c r="MA79" s="103" t="str">
        <f>IFERROR(IF([1]Checklist!$C$7='GenInfo (2)'!E79,'GenInfo (2)'!LZ79," ")," ")</f>
        <v xml:space="preserve"> </v>
      </c>
      <c r="MB79" s="104" t="str">
        <f>IFERROR(SMALL($MA$8:$MA$94,ROWS($IL$8:IL79))," ")</f>
        <v xml:space="preserve"> </v>
      </c>
      <c r="MC79" s="102">
        <f>IFERROR(ROWS($IL$8:IL79)," ")</f>
        <v>72</v>
      </c>
      <c r="MD79" s="103" t="str">
        <f>IFERROR(IF([1]Checklist!$C$8='GenInfo (2)'!E79,'GenInfo (2)'!MC79," ")," ")</f>
        <v xml:space="preserve"> </v>
      </c>
      <c r="ME79" s="104" t="str">
        <f>IFERROR(SMALL($MD$8:$MD$94,ROWS($IL$8:IL79))," ")</f>
        <v xml:space="preserve"> </v>
      </c>
      <c r="MF79" s="102">
        <f>IFERROR(ROWS($IL$8:IL79)," ")</f>
        <v>72</v>
      </c>
      <c r="MG79" s="103" t="str">
        <f>IFERROR(IF([1]Checklist!$C$9='GenInfo (2)'!E79,'GenInfo (2)'!MF79," ")," ")</f>
        <v xml:space="preserve"> </v>
      </c>
      <c r="MH79" s="104" t="str">
        <f>IFERROR(SMALL($MG$8:$MG$94,ROWS($IL$8:IL79))," ")</f>
        <v xml:space="preserve"> </v>
      </c>
      <c r="MI79" s="102">
        <f>IFERROR(ROWS($IL$8:$IL79)," ")</f>
        <v>72</v>
      </c>
      <c r="MJ79" s="103" t="str">
        <f>IFERROR(IF([1]Checklist!$C$10='GenInfo (2)'!E79,'GenInfo (2)'!MI79," ")," ")</f>
        <v xml:space="preserve"> </v>
      </c>
      <c r="MK79" s="104" t="str">
        <f>IFERROR(SMALL($MJ$8:$MJ$94,ROWS($IL$8:IL79))," ")</f>
        <v xml:space="preserve"> </v>
      </c>
      <c r="ML79" s="102">
        <f>IFERROR(ROWS($IL$8:IL79)," ")</f>
        <v>72</v>
      </c>
      <c r="MM79" s="103" t="str">
        <f>IFERROR(IF([1]Checklist!$C$11='GenInfo (2)'!E79,'GenInfo (2)'!ML79," ")," ")</f>
        <v xml:space="preserve"> </v>
      </c>
      <c r="MN79" s="104" t="str">
        <f>IFERROR(SMALL($MM$8:$MM$94,ROWS($IL$8:IL79))," ")</f>
        <v xml:space="preserve"> </v>
      </c>
      <c r="MO79" s="102">
        <f>IFERROR(ROWS($IL$8:IL79)," ")</f>
        <v>72</v>
      </c>
      <c r="MP79" s="103" t="str">
        <f>IFERROR(IF([1]Checklist!$C$12='GenInfo (2)'!E79,'GenInfo (2)'!MO79," ")," ")</f>
        <v xml:space="preserve"> </v>
      </c>
      <c r="MQ79" s="104" t="str">
        <f>IFERROR(SMALL($MP$8:$MP$94,ROWS($IL$8:IL79))," ")</f>
        <v xml:space="preserve"> </v>
      </c>
      <c r="MR79" s="102">
        <f>IFERROR(ROWS($IL$8:IL79)," ")</f>
        <v>72</v>
      </c>
      <c r="MS79" s="103" t="str">
        <f>IFERROR(IF([1]Checklist!$C$13='GenInfo (2)'!E79,'GenInfo (2)'!MR79," ")," ")</f>
        <v xml:space="preserve"> </v>
      </c>
      <c r="MT79" s="104" t="str">
        <f>IFERROR(SMALL($MS$8:$MS$94,ROWS($IL$8:IL79))," ")</f>
        <v xml:space="preserve"> </v>
      </c>
      <c r="MU79" s="102">
        <f>IFERROR(ROWS($IL$8:IL79)," ")</f>
        <v>72</v>
      </c>
      <c r="MV79" s="103" t="str">
        <f>IFERROR(IF([1]Checklist!$C$14='GenInfo (2)'!E79,'GenInfo (2)'!MU79," ")," ")</f>
        <v xml:space="preserve"> </v>
      </c>
      <c r="MW79" s="104" t="str">
        <f>IFERROR(SMALL($MV$8:$MV$94,ROWS($IL$8:IL79))," ")</f>
        <v xml:space="preserve"> </v>
      </c>
      <c r="MX79" s="102">
        <f>IFERROR(ROWS($IL$8:IL79)," ")</f>
        <v>72</v>
      </c>
      <c r="MY79" s="103" t="str">
        <f>IFERROR(IF([1]Checklist!$C$15='GenInfo (2)'!E79,'GenInfo (2)'!MX79," ")," ")</f>
        <v xml:space="preserve"> </v>
      </c>
      <c r="MZ79" s="104" t="str">
        <f>IFERROR(SMALL($MY$8:$MY$94,ROWS($IL$8:IL79))," ")</f>
        <v xml:space="preserve"> </v>
      </c>
      <c r="NA79" s="102">
        <f>IFERROR(ROWS($IL$8:IL79)," ")</f>
        <v>72</v>
      </c>
      <c r="NB79" s="103" t="str">
        <f>IFERROR(IF([1]Checklist!$C$16='GenInfo (2)'!E79,'GenInfo (2)'!NA79," ")," ")</f>
        <v xml:space="preserve"> </v>
      </c>
      <c r="NC79" s="104" t="str">
        <f>IFERROR(SMALL($NB$8:$NB$94,ROWS($IL$8:IL79))," ")</f>
        <v xml:space="preserve"> </v>
      </c>
      <c r="ND79" s="102">
        <f>IFERROR(ROWS($IL$8:IL79)," ")</f>
        <v>72</v>
      </c>
      <c r="NE79" s="103" t="str">
        <f>IFERROR(IF([1]Checklist!$C$17='GenInfo (2)'!E79,'GenInfo (2)'!ND79," ")," ")</f>
        <v xml:space="preserve"> </v>
      </c>
      <c r="NF79" s="104" t="str">
        <f>IFERROR(SMALL($NE$8:$NE$94,ROWS($IL$8:IL79))," ")</f>
        <v xml:space="preserve"> </v>
      </c>
    </row>
    <row r="80" spans="5:370" ht="14.25" x14ac:dyDescent="0.45">
      <c r="E80" s="64"/>
      <c r="F80" s="63"/>
      <c r="G80" s="64"/>
      <c r="H80" s="63"/>
      <c r="I80" s="63"/>
      <c r="J80" s="63"/>
      <c r="K80" s="62"/>
      <c r="L80" s="67"/>
      <c r="M80" s="67"/>
      <c r="N80" s="67"/>
      <c r="O80" s="68"/>
      <c r="P80" s="67"/>
      <c r="Q80" s="67"/>
      <c r="R80" s="63"/>
      <c r="S80" s="67"/>
      <c r="T80" s="63"/>
      <c r="U80" s="62"/>
      <c r="V80" s="63"/>
      <c r="W80" s="63"/>
      <c r="X80" s="69"/>
      <c r="Y80" s="63"/>
      <c r="Z80" s="69"/>
      <c r="AA80" s="62"/>
      <c r="AB80" s="63"/>
      <c r="AC80" s="63"/>
      <c r="AD80" s="63"/>
      <c r="AE80" s="63"/>
      <c r="AF80" s="63"/>
      <c r="AG80" s="63"/>
      <c r="AH80" s="63"/>
      <c r="AI80" s="63"/>
      <c r="AJ80" s="63"/>
      <c r="AK80" s="62"/>
      <c r="AL80" s="71">
        <f t="shared" si="95"/>
        <v>0</v>
      </c>
      <c r="AM80" s="71">
        <f t="shared" ca="1" si="137"/>
        <v>122</v>
      </c>
      <c r="AN80" s="63"/>
      <c r="AO80" s="72" t="str">
        <f t="shared" ca="1" si="97"/>
        <v/>
      </c>
      <c r="AP80" s="63"/>
      <c r="AQ80" s="73"/>
      <c r="AR80" s="70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2"/>
      <c r="BE80" s="71">
        <f t="shared" si="144"/>
        <v>0</v>
      </c>
      <c r="BF80" s="71">
        <f t="shared" si="144"/>
        <v>0</v>
      </c>
      <c r="BG80" s="71">
        <f t="shared" si="99"/>
        <v>0</v>
      </c>
      <c r="BH80" s="74" t="str">
        <f t="shared" si="100"/>
        <v xml:space="preserve"> </v>
      </c>
      <c r="BI80" s="75" t="str">
        <f t="shared" si="101"/>
        <v xml:space="preserve"> </v>
      </c>
      <c r="BJ80" s="71">
        <f t="shared" si="102"/>
        <v>0</v>
      </c>
      <c r="BK80" s="75" t="str">
        <f t="shared" si="103"/>
        <v xml:space="preserve"> </v>
      </c>
      <c r="BL80" s="76">
        <f t="shared" si="145"/>
        <v>0</v>
      </c>
      <c r="BM80" s="77">
        <f t="shared" si="145"/>
        <v>0</v>
      </c>
      <c r="BN80" s="78"/>
      <c r="BO80" s="67"/>
      <c r="BP80" s="67"/>
      <c r="BQ80" s="63"/>
      <c r="BR80" s="63"/>
      <c r="BS80" s="74" t="str">
        <f t="shared" si="108"/>
        <v xml:space="preserve"> </v>
      </c>
      <c r="BT80" s="79" t="s">
        <v>221</v>
      </c>
      <c r="BU80" s="79" t="s">
        <v>221</v>
      </c>
      <c r="BV80" s="80">
        <v>0</v>
      </c>
      <c r="BW80" s="81">
        <v>0</v>
      </c>
      <c r="BX80" s="82"/>
      <c r="BY80" s="83"/>
      <c r="BZ80" s="83"/>
      <c r="CA80" s="84"/>
      <c r="CB80" s="84"/>
      <c r="CC80" s="74" t="str">
        <f t="shared" si="109"/>
        <v xml:space="preserve"> </v>
      </c>
      <c r="CD80" s="79" t="s">
        <v>221</v>
      </c>
      <c r="CE80" s="81">
        <v>0</v>
      </c>
      <c r="CF80" s="85"/>
      <c r="CG80" s="85"/>
      <c r="CH80" s="85"/>
      <c r="CI80" s="78"/>
      <c r="CJ80" s="78"/>
      <c r="CK80" s="74" t="str">
        <f t="shared" si="110"/>
        <v xml:space="preserve"> </v>
      </c>
      <c r="CL80" s="79" t="s">
        <v>221</v>
      </c>
      <c r="CM80" s="79" t="s">
        <v>221</v>
      </c>
      <c r="CN80" s="86" t="s">
        <v>221</v>
      </c>
      <c r="CO80" s="81">
        <v>0</v>
      </c>
      <c r="CP80" s="87"/>
      <c r="CQ80" s="83"/>
      <c r="CR80" s="83"/>
      <c r="CS80" s="82"/>
      <c r="CT80" s="82"/>
      <c r="CU80" s="74" t="str">
        <f t="shared" si="111"/>
        <v xml:space="preserve"> </v>
      </c>
      <c r="CV80" s="79" t="s">
        <v>221</v>
      </c>
      <c r="CW80" s="79" t="s">
        <v>221</v>
      </c>
      <c r="CX80" s="88" t="s">
        <v>221</v>
      </c>
      <c r="CY80" s="81">
        <v>0</v>
      </c>
      <c r="CZ80" s="89"/>
      <c r="DA80" s="67"/>
      <c r="DB80" s="67"/>
      <c r="DC80" s="78"/>
      <c r="DD80" s="78"/>
      <c r="DE80" s="74" t="str">
        <f t="shared" si="112"/>
        <v xml:space="preserve"> </v>
      </c>
      <c r="DF80" s="79" t="s">
        <v>221</v>
      </c>
      <c r="DG80" s="79" t="s">
        <v>221</v>
      </c>
      <c r="DH80" s="79" t="s">
        <v>221</v>
      </c>
      <c r="DI80" s="81">
        <v>0</v>
      </c>
      <c r="DJ80" s="87"/>
      <c r="DK80" s="83"/>
      <c r="DL80" s="83"/>
      <c r="DM80" s="82"/>
      <c r="DN80" s="82"/>
      <c r="DO80" s="74" t="str">
        <f t="shared" si="113"/>
        <v xml:space="preserve"> </v>
      </c>
      <c r="DP80" s="79" t="s">
        <v>221</v>
      </c>
      <c r="DQ80" s="79" t="s">
        <v>221</v>
      </c>
      <c r="DR80" s="79" t="s">
        <v>221</v>
      </c>
      <c r="DS80" s="81">
        <v>0</v>
      </c>
      <c r="DT80" s="89"/>
      <c r="DU80" s="67"/>
      <c r="DV80" s="67"/>
      <c r="DW80" s="78"/>
      <c r="DX80" s="78"/>
      <c r="DY80" s="74" t="str">
        <f t="shared" si="114"/>
        <v xml:space="preserve"> </v>
      </c>
      <c r="DZ80" s="94"/>
      <c r="EA80" s="94"/>
      <c r="EB80" s="94"/>
      <c r="EC80" s="94"/>
      <c r="ED80" s="87"/>
      <c r="EE80" s="83"/>
      <c r="EF80" s="83"/>
      <c r="EG80" s="82"/>
      <c r="EH80" s="82"/>
      <c r="EI80" s="74" t="str">
        <f t="shared" si="105"/>
        <v xml:space="preserve"> </v>
      </c>
      <c r="EJ80" s="92"/>
      <c r="EK80" s="92"/>
      <c r="EL80" s="92"/>
      <c r="EM80" s="92"/>
      <c r="EN80" s="89"/>
      <c r="EO80" s="67"/>
      <c r="EP80" s="67"/>
      <c r="EQ80" s="78"/>
      <c r="ER80" s="78"/>
      <c r="ES80" s="74" t="str">
        <f t="shared" si="106"/>
        <v xml:space="preserve"> </v>
      </c>
      <c r="ET80" s="94"/>
      <c r="EU80" s="94"/>
      <c r="EV80" s="94">
        <v>0</v>
      </c>
      <c r="EW80" s="76">
        <v>0</v>
      </c>
      <c r="EX80" s="87"/>
      <c r="EY80" s="83"/>
      <c r="EZ80" s="83"/>
      <c r="FA80" s="82"/>
      <c r="FB80" s="82"/>
      <c r="FC80" s="74" t="str">
        <f t="shared" si="115"/>
        <v xml:space="preserve"> </v>
      </c>
      <c r="FD80" s="92"/>
      <c r="FE80" s="92"/>
      <c r="FF80" s="92"/>
      <c r="FG80" s="92"/>
      <c r="FH80" s="76">
        <f t="shared" si="116"/>
        <v>0</v>
      </c>
      <c r="FI80" s="89"/>
      <c r="FJ80" s="67"/>
      <c r="FK80" s="67"/>
      <c r="FL80" s="78"/>
      <c r="FM80" s="78"/>
      <c r="FN80" s="74" t="str">
        <f t="shared" si="117"/>
        <v xml:space="preserve"> </v>
      </c>
      <c r="FO80" s="94"/>
      <c r="FP80" s="94"/>
      <c r="FQ80" s="94"/>
      <c r="FR80" s="94"/>
      <c r="FS80" s="76">
        <f t="shared" si="118"/>
        <v>0</v>
      </c>
      <c r="FT80" s="87"/>
      <c r="FU80" s="83"/>
      <c r="FV80" s="83"/>
      <c r="FW80" s="82"/>
      <c r="FX80" s="82"/>
      <c r="FY80" s="74" t="str">
        <f t="shared" si="119"/>
        <v xml:space="preserve"> </v>
      </c>
      <c r="FZ80" s="92"/>
      <c r="GA80" s="92"/>
      <c r="GB80" s="92"/>
      <c r="GC80" s="92"/>
      <c r="GD80" s="76">
        <f t="shared" si="120"/>
        <v>0</v>
      </c>
      <c r="GE80" s="62"/>
      <c r="GF80" s="96" t="s">
        <v>221</v>
      </c>
      <c r="GG80" s="96" t="s">
        <v>221</v>
      </c>
      <c r="GH80" s="63"/>
      <c r="GI80" s="63"/>
      <c r="GJ80" s="63"/>
      <c r="GK80" s="97">
        <f t="shared" si="84"/>
        <v>0</v>
      </c>
      <c r="GL80" s="98"/>
      <c r="GM80" s="98"/>
      <c r="GN80" s="97">
        <f t="shared" si="121"/>
        <v>0</v>
      </c>
      <c r="GO80" s="97" t="str">
        <f t="shared" si="122"/>
        <v xml:space="preserve"> </v>
      </c>
      <c r="GP80" s="62"/>
      <c r="GQ80" s="63"/>
      <c r="GR80" s="63"/>
      <c r="GS80" s="63"/>
      <c r="GT80" s="63"/>
      <c r="GU80" s="63"/>
      <c r="GV80" s="63"/>
      <c r="GW80" s="63"/>
      <c r="GX80" s="63"/>
      <c r="GY80" s="65" t="str">
        <f t="shared" si="138"/>
        <v/>
      </c>
      <c r="GZ80" s="65" t="str">
        <f t="shared" si="139"/>
        <v/>
      </c>
      <c r="HA80" s="63"/>
      <c r="HB80" s="63"/>
      <c r="HC80" s="63"/>
      <c r="HD80" s="63"/>
      <c r="HE80" s="63"/>
      <c r="HF80" s="63"/>
      <c r="HG80" s="63"/>
      <c r="HH80" s="63"/>
      <c r="HI80" s="63"/>
      <c r="HJ80" s="63"/>
      <c r="HK80" s="63"/>
      <c r="HL80" s="65" t="str">
        <f t="shared" si="140"/>
        <v/>
      </c>
      <c r="HM80" s="65" t="str">
        <f t="shared" si="124"/>
        <v/>
      </c>
      <c r="HN80" s="65" t="str">
        <f t="shared" si="141"/>
        <v/>
      </c>
      <c r="HO80" s="65" t="str">
        <f t="shared" si="142"/>
        <v/>
      </c>
      <c r="HP80" s="99" t="str">
        <f t="shared" si="130"/>
        <v/>
      </c>
      <c r="HQ80" s="99" t="str">
        <f t="shared" si="143"/>
        <v/>
      </c>
      <c r="HR80" s="63"/>
      <c r="HS80" s="63"/>
      <c r="HT80" s="63"/>
      <c r="HU80" s="63"/>
      <c r="HV80" s="63"/>
      <c r="HW80" s="63"/>
      <c r="HX80" s="63"/>
      <c r="HY80" s="63"/>
      <c r="HZ80" s="63"/>
      <c r="IA80" s="63"/>
      <c r="IB80" s="63"/>
      <c r="IC80" s="63"/>
      <c r="ID80" s="63"/>
      <c r="IE80" s="63"/>
      <c r="IF80" s="63"/>
      <c r="IG80" s="63"/>
      <c r="IH80" s="63"/>
      <c r="II80" s="63"/>
      <c r="IJ80" s="63"/>
      <c r="IK80" s="63"/>
      <c r="IL80" s="63"/>
      <c r="IM80" s="62"/>
      <c r="IN80" s="101"/>
      <c r="IO80" s="101"/>
      <c r="IP80" s="63"/>
      <c r="IQ80" s="63"/>
      <c r="IR80" s="63"/>
      <c r="IS80" s="63"/>
      <c r="IT80" s="63"/>
      <c r="IU80" s="63"/>
      <c r="IV80" s="63"/>
      <c r="IW80" s="63"/>
      <c r="IX80" s="63"/>
      <c r="IY80" s="63"/>
      <c r="IZ80" s="63"/>
      <c r="JA80" s="65">
        <f t="shared" si="107"/>
        <v>0</v>
      </c>
      <c r="JB80" s="63"/>
      <c r="JC80" s="101"/>
      <c r="JD80" s="101"/>
      <c r="JE80" s="63"/>
      <c r="JF80" s="63"/>
      <c r="JG80" s="63"/>
      <c r="JH80" s="63"/>
      <c r="JI80" s="63"/>
      <c r="JJ80" s="63"/>
      <c r="JK80" s="63"/>
      <c r="JL80" s="63"/>
      <c r="JM80" s="63"/>
      <c r="JN80" s="63"/>
      <c r="JO80" s="63"/>
      <c r="JP80" s="65">
        <f t="shared" si="133"/>
        <v>0</v>
      </c>
      <c r="JQ80" s="63"/>
      <c r="LM80" s="205"/>
      <c r="LN80" s="102">
        <f>IFERROR(ROWS($IL$8:IL80)," ")</f>
        <v>73</v>
      </c>
      <c r="LO80" s="103" t="str">
        <f>IFERROR(IF([1]Checklist!$C$3='GenInfo (2)'!E80,'GenInfo (2)'!LN80," ")," ")</f>
        <v xml:space="preserve"> </v>
      </c>
      <c r="LP80" s="104" t="str">
        <f>IFERROR(SMALL($LO$8:$LO$94,ROWS($IL$8:IL80))," ")</f>
        <v xml:space="preserve"> </v>
      </c>
      <c r="LQ80" s="102">
        <f>IFERROR(ROWS($IL$8:IL80)," ")</f>
        <v>73</v>
      </c>
      <c r="LR80" s="103" t="str">
        <f>IFERROR(IF([1]Checklist!$C$4='GenInfo (2)'!E80,'GenInfo (2)'!LQ80," ")," ")</f>
        <v xml:space="preserve"> </v>
      </c>
      <c r="LS80" s="104" t="str">
        <f>IFERROR(SMALL($LR$8:$LR$94,ROWS($IL$8:IL80))," ")</f>
        <v xml:space="preserve"> </v>
      </c>
      <c r="LT80" s="102">
        <f>IFERROR(ROWS($IL$8:IL80)," ")</f>
        <v>73</v>
      </c>
      <c r="LU80" s="103" t="str">
        <f>IFERROR(IF([1]Checklist!$C$5='GenInfo (2)'!E80,'GenInfo (2)'!LT80," ")," ")</f>
        <v xml:space="preserve"> </v>
      </c>
      <c r="LV80" s="104" t="str">
        <f>IFERROR(SMALL($LU$8:$LU$94,ROWS($IL$8:IL80))," ")</f>
        <v xml:space="preserve"> </v>
      </c>
      <c r="LW80" s="102">
        <f>IFERROR(ROWS($IL$8:IL80)," ")</f>
        <v>73</v>
      </c>
      <c r="LX80" s="103" t="str">
        <f>IFERROR(IF([1]Checklist!$C$6='GenInfo (2)'!E80,'GenInfo (2)'!LW80," ")," ")</f>
        <v xml:space="preserve"> </v>
      </c>
      <c r="LY80" s="104" t="str">
        <f>IFERROR(SMALL($LX$8:$LX$94,ROWS($IL$8:IL80))," ")</f>
        <v xml:space="preserve"> </v>
      </c>
      <c r="LZ80" s="102">
        <f>IFERROR(ROWS($IL$8:IL80)," ")</f>
        <v>73</v>
      </c>
      <c r="MA80" s="103" t="str">
        <f>IFERROR(IF([1]Checklist!$C$7='GenInfo (2)'!E80,'GenInfo (2)'!LZ80," ")," ")</f>
        <v xml:space="preserve"> </v>
      </c>
      <c r="MB80" s="104" t="str">
        <f>IFERROR(SMALL($MA$8:$MA$94,ROWS($IL$8:IL80))," ")</f>
        <v xml:space="preserve"> </v>
      </c>
      <c r="MC80" s="102">
        <f>IFERROR(ROWS($IL$8:IL80)," ")</f>
        <v>73</v>
      </c>
      <c r="MD80" s="103" t="str">
        <f>IFERROR(IF([1]Checklist!$C$8='GenInfo (2)'!E80,'GenInfo (2)'!MC80," ")," ")</f>
        <v xml:space="preserve"> </v>
      </c>
      <c r="ME80" s="104" t="str">
        <f>IFERROR(SMALL($MD$8:$MD$94,ROWS($IL$8:IL80))," ")</f>
        <v xml:space="preserve"> </v>
      </c>
      <c r="MF80" s="102">
        <f>IFERROR(ROWS($IL$8:IL80)," ")</f>
        <v>73</v>
      </c>
      <c r="MG80" s="103" t="str">
        <f>IFERROR(IF([1]Checklist!$C$9='GenInfo (2)'!E80,'GenInfo (2)'!MF80," ")," ")</f>
        <v xml:space="preserve"> </v>
      </c>
      <c r="MH80" s="104" t="str">
        <f>IFERROR(SMALL($MG$8:$MG$94,ROWS($IL$8:IL80))," ")</f>
        <v xml:space="preserve"> </v>
      </c>
      <c r="MI80" s="102">
        <f>IFERROR(ROWS($IL$8:$IL80)," ")</f>
        <v>73</v>
      </c>
      <c r="MJ80" s="103" t="str">
        <f>IFERROR(IF([1]Checklist!$C$10='GenInfo (2)'!E80,'GenInfo (2)'!MI80," ")," ")</f>
        <v xml:space="preserve"> </v>
      </c>
      <c r="MK80" s="104" t="str">
        <f>IFERROR(SMALL($MJ$8:$MJ$94,ROWS($IL$8:IL80))," ")</f>
        <v xml:space="preserve"> </v>
      </c>
      <c r="ML80" s="102">
        <f>IFERROR(ROWS($IL$8:IL80)," ")</f>
        <v>73</v>
      </c>
      <c r="MM80" s="103" t="str">
        <f>IFERROR(IF([1]Checklist!$C$11='GenInfo (2)'!E80,'GenInfo (2)'!ML80," ")," ")</f>
        <v xml:space="preserve"> </v>
      </c>
      <c r="MN80" s="104" t="str">
        <f>IFERROR(SMALL($MM$8:$MM$94,ROWS($IL$8:IL80))," ")</f>
        <v xml:space="preserve"> </v>
      </c>
      <c r="MO80" s="102">
        <f>IFERROR(ROWS($IL$8:IL80)," ")</f>
        <v>73</v>
      </c>
      <c r="MP80" s="103" t="str">
        <f>IFERROR(IF([1]Checklist!$C$12='GenInfo (2)'!E80,'GenInfo (2)'!MO80," ")," ")</f>
        <v xml:space="preserve"> </v>
      </c>
      <c r="MQ80" s="104" t="str">
        <f>IFERROR(SMALL($MP$8:$MP$94,ROWS($IL$8:IL80))," ")</f>
        <v xml:space="preserve"> </v>
      </c>
      <c r="MR80" s="102">
        <f>IFERROR(ROWS($IL$8:IL80)," ")</f>
        <v>73</v>
      </c>
      <c r="MS80" s="103" t="str">
        <f>IFERROR(IF([1]Checklist!$C$13='GenInfo (2)'!E80,'GenInfo (2)'!MR80," ")," ")</f>
        <v xml:space="preserve"> </v>
      </c>
      <c r="MT80" s="104" t="str">
        <f>IFERROR(SMALL($MS$8:$MS$94,ROWS($IL$8:IL80))," ")</f>
        <v xml:space="preserve"> </v>
      </c>
      <c r="MU80" s="102">
        <f>IFERROR(ROWS($IL$8:IL80)," ")</f>
        <v>73</v>
      </c>
      <c r="MV80" s="103" t="str">
        <f>IFERROR(IF([1]Checklist!$C$14='GenInfo (2)'!E80,'GenInfo (2)'!MU80," ")," ")</f>
        <v xml:space="preserve"> </v>
      </c>
      <c r="MW80" s="104" t="str">
        <f>IFERROR(SMALL($MV$8:$MV$94,ROWS($IL$8:IL80))," ")</f>
        <v xml:space="preserve"> </v>
      </c>
      <c r="MX80" s="102">
        <f>IFERROR(ROWS($IL$8:IL80)," ")</f>
        <v>73</v>
      </c>
      <c r="MY80" s="103" t="str">
        <f>IFERROR(IF([1]Checklist!$C$15='GenInfo (2)'!E80,'GenInfo (2)'!MX80," ")," ")</f>
        <v xml:space="preserve"> </v>
      </c>
      <c r="MZ80" s="104" t="str">
        <f>IFERROR(SMALL($MY$8:$MY$94,ROWS($IL$8:IL80))," ")</f>
        <v xml:space="preserve"> </v>
      </c>
      <c r="NA80" s="102">
        <f>IFERROR(ROWS($IL$8:IL80)," ")</f>
        <v>73</v>
      </c>
      <c r="NB80" s="103" t="str">
        <f>IFERROR(IF([1]Checklist!$C$16='GenInfo (2)'!E80,'GenInfo (2)'!NA80," ")," ")</f>
        <v xml:space="preserve"> </v>
      </c>
      <c r="NC80" s="104" t="str">
        <f>IFERROR(SMALL($NB$8:$NB$94,ROWS($IL$8:IL80))," ")</f>
        <v xml:space="preserve"> </v>
      </c>
      <c r="ND80" s="102">
        <f>IFERROR(ROWS($IL$8:IL80)," ")</f>
        <v>73</v>
      </c>
      <c r="NE80" s="103" t="str">
        <f>IFERROR(IF([1]Checklist!$C$17='GenInfo (2)'!E80,'GenInfo (2)'!ND80," ")," ")</f>
        <v xml:space="preserve"> </v>
      </c>
      <c r="NF80" s="104" t="str">
        <f>IFERROR(SMALL($NE$8:$NE$94,ROWS($IL$8:IL80))," ")</f>
        <v xml:space="preserve"> </v>
      </c>
    </row>
    <row r="81" spans="5:370" ht="14.25" x14ac:dyDescent="0.45">
      <c r="E81" s="64"/>
      <c r="F81" s="63"/>
      <c r="G81" s="64"/>
      <c r="H81" s="63"/>
      <c r="I81" s="63"/>
      <c r="J81" s="63"/>
      <c r="K81" s="62"/>
      <c r="L81" s="67"/>
      <c r="M81" s="67"/>
      <c r="N81" s="67"/>
      <c r="O81" s="68"/>
      <c r="P81" s="67"/>
      <c r="Q81" s="67"/>
      <c r="R81" s="63"/>
      <c r="S81" s="67"/>
      <c r="T81" s="63"/>
      <c r="U81" s="62"/>
      <c r="V81" s="63"/>
      <c r="W81" s="63"/>
      <c r="X81" s="69"/>
      <c r="Y81" s="63"/>
      <c r="Z81" s="69"/>
      <c r="AA81" s="62"/>
      <c r="AB81" s="63"/>
      <c r="AC81" s="63"/>
      <c r="AD81" s="63"/>
      <c r="AE81" s="63"/>
      <c r="AF81" s="63"/>
      <c r="AG81" s="63"/>
      <c r="AH81" s="63"/>
      <c r="AI81" s="63"/>
      <c r="AJ81" s="63"/>
      <c r="AK81" s="62"/>
      <c r="AL81" s="71">
        <f t="shared" si="95"/>
        <v>0</v>
      </c>
      <c r="AM81" s="71">
        <f t="shared" ca="1" si="137"/>
        <v>122</v>
      </c>
      <c r="AN81" s="63"/>
      <c r="AO81" s="72" t="str">
        <f t="shared" ca="1" si="97"/>
        <v/>
      </c>
      <c r="AP81" s="63"/>
      <c r="AQ81" s="73"/>
      <c r="AR81" s="70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2"/>
      <c r="BE81" s="71">
        <f t="shared" si="144"/>
        <v>0</v>
      </c>
      <c r="BF81" s="71">
        <f t="shared" si="144"/>
        <v>0</v>
      </c>
      <c r="BG81" s="71">
        <f t="shared" si="99"/>
        <v>0</v>
      </c>
      <c r="BH81" s="74" t="str">
        <f t="shared" si="100"/>
        <v xml:space="preserve"> </v>
      </c>
      <c r="BI81" s="75" t="str">
        <f t="shared" si="101"/>
        <v xml:space="preserve"> </v>
      </c>
      <c r="BJ81" s="71">
        <f t="shared" si="102"/>
        <v>0</v>
      </c>
      <c r="BK81" s="75" t="str">
        <f t="shared" si="103"/>
        <v xml:space="preserve"> </v>
      </c>
      <c r="BL81" s="76">
        <f t="shared" si="145"/>
        <v>0</v>
      </c>
      <c r="BM81" s="77">
        <f t="shared" si="145"/>
        <v>0</v>
      </c>
      <c r="BN81" s="78"/>
      <c r="BO81" s="67"/>
      <c r="BP81" s="67"/>
      <c r="BQ81" s="63"/>
      <c r="BR81" s="63"/>
      <c r="BS81" s="74" t="str">
        <f t="shared" si="108"/>
        <v xml:space="preserve"> </v>
      </c>
      <c r="BT81" s="79" t="s">
        <v>221</v>
      </c>
      <c r="BU81" s="79" t="s">
        <v>221</v>
      </c>
      <c r="BV81" s="80">
        <v>0</v>
      </c>
      <c r="BW81" s="81">
        <v>0</v>
      </c>
      <c r="BX81" s="82"/>
      <c r="BY81" s="83"/>
      <c r="BZ81" s="83"/>
      <c r="CA81" s="84"/>
      <c r="CB81" s="84"/>
      <c r="CC81" s="74" t="str">
        <f t="shared" si="109"/>
        <v xml:space="preserve"> </v>
      </c>
      <c r="CD81" s="79" t="s">
        <v>221</v>
      </c>
      <c r="CE81" s="81">
        <v>0</v>
      </c>
      <c r="CF81" s="85"/>
      <c r="CG81" s="85"/>
      <c r="CH81" s="85"/>
      <c r="CI81" s="78"/>
      <c r="CJ81" s="78"/>
      <c r="CK81" s="74" t="str">
        <f t="shared" si="110"/>
        <v xml:space="preserve"> </v>
      </c>
      <c r="CL81" s="79" t="s">
        <v>221</v>
      </c>
      <c r="CM81" s="79" t="s">
        <v>221</v>
      </c>
      <c r="CN81" s="86" t="s">
        <v>221</v>
      </c>
      <c r="CO81" s="81">
        <v>0</v>
      </c>
      <c r="CP81" s="87"/>
      <c r="CQ81" s="83"/>
      <c r="CR81" s="83"/>
      <c r="CS81" s="82"/>
      <c r="CT81" s="82"/>
      <c r="CU81" s="74" t="str">
        <f t="shared" si="111"/>
        <v xml:space="preserve"> </v>
      </c>
      <c r="CV81" s="79" t="s">
        <v>221</v>
      </c>
      <c r="CW81" s="79" t="s">
        <v>221</v>
      </c>
      <c r="CX81" s="88" t="s">
        <v>221</v>
      </c>
      <c r="CY81" s="81">
        <v>0</v>
      </c>
      <c r="CZ81" s="89"/>
      <c r="DA81" s="67"/>
      <c r="DB81" s="67"/>
      <c r="DC81" s="78"/>
      <c r="DD81" s="78"/>
      <c r="DE81" s="74" t="str">
        <f t="shared" si="112"/>
        <v xml:space="preserve"> </v>
      </c>
      <c r="DF81" s="79" t="s">
        <v>221</v>
      </c>
      <c r="DG81" s="79" t="s">
        <v>221</v>
      </c>
      <c r="DH81" s="79" t="s">
        <v>221</v>
      </c>
      <c r="DI81" s="81">
        <v>0</v>
      </c>
      <c r="DJ81" s="87"/>
      <c r="DK81" s="83"/>
      <c r="DL81" s="83"/>
      <c r="DM81" s="82"/>
      <c r="DN81" s="82"/>
      <c r="DO81" s="74" t="str">
        <f t="shared" si="113"/>
        <v xml:space="preserve"> </v>
      </c>
      <c r="DP81" s="79" t="s">
        <v>221</v>
      </c>
      <c r="DQ81" s="79" t="s">
        <v>221</v>
      </c>
      <c r="DR81" s="79" t="s">
        <v>221</v>
      </c>
      <c r="DS81" s="81">
        <v>0</v>
      </c>
      <c r="DT81" s="89"/>
      <c r="DU81" s="67"/>
      <c r="DV81" s="67"/>
      <c r="DW81" s="78"/>
      <c r="DX81" s="78"/>
      <c r="DY81" s="74" t="str">
        <f t="shared" si="114"/>
        <v xml:space="preserve"> </v>
      </c>
      <c r="DZ81" s="94"/>
      <c r="EA81" s="94"/>
      <c r="EB81" s="94"/>
      <c r="EC81" s="94"/>
      <c r="ED81" s="87"/>
      <c r="EE81" s="83"/>
      <c r="EF81" s="83"/>
      <c r="EG81" s="82"/>
      <c r="EH81" s="82"/>
      <c r="EI81" s="74" t="str">
        <f t="shared" si="105"/>
        <v xml:space="preserve"> </v>
      </c>
      <c r="EJ81" s="92"/>
      <c r="EK81" s="92"/>
      <c r="EL81" s="92"/>
      <c r="EM81" s="92"/>
      <c r="EN81" s="89"/>
      <c r="EO81" s="67"/>
      <c r="EP81" s="67"/>
      <c r="EQ81" s="78"/>
      <c r="ER81" s="78"/>
      <c r="ES81" s="74" t="str">
        <f t="shared" si="106"/>
        <v xml:space="preserve"> </v>
      </c>
      <c r="ET81" s="94"/>
      <c r="EU81" s="94"/>
      <c r="EV81" s="94">
        <v>0</v>
      </c>
      <c r="EW81" s="76">
        <v>0</v>
      </c>
      <c r="EX81" s="87"/>
      <c r="EY81" s="83"/>
      <c r="EZ81" s="83"/>
      <c r="FA81" s="82"/>
      <c r="FB81" s="82"/>
      <c r="FC81" s="74" t="str">
        <f t="shared" si="115"/>
        <v xml:space="preserve"> </v>
      </c>
      <c r="FD81" s="92"/>
      <c r="FE81" s="92"/>
      <c r="FF81" s="92"/>
      <c r="FG81" s="92"/>
      <c r="FH81" s="76">
        <f t="shared" si="116"/>
        <v>0</v>
      </c>
      <c r="FI81" s="89"/>
      <c r="FJ81" s="67"/>
      <c r="FK81" s="67"/>
      <c r="FL81" s="78"/>
      <c r="FM81" s="78"/>
      <c r="FN81" s="74" t="str">
        <f t="shared" si="117"/>
        <v xml:space="preserve"> </v>
      </c>
      <c r="FO81" s="94"/>
      <c r="FP81" s="94"/>
      <c r="FQ81" s="94"/>
      <c r="FR81" s="94"/>
      <c r="FS81" s="76">
        <f t="shared" si="118"/>
        <v>0</v>
      </c>
      <c r="FT81" s="87"/>
      <c r="FU81" s="83"/>
      <c r="FV81" s="83"/>
      <c r="FW81" s="82"/>
      <c r="FX81" s="82"/>
      <c r="FY81" s="74" t="str">
        <f t="shared" si="119"/>
        <v xml:space="preserve"> </v>
      </c>
      <c r="FZ81" s="92"/>
      <c r="GA81" s="92"/>
      <c r="GB81" s="92"/>
      <c r="GC81" s="92"/>
      <c r="GD81" s="76">
        <f t="shared" si="120"/>
        <v>0</v>
      </c>
      <c r="GE81" s="62"/>
      <c r="GF81" s="96" t="s">
        <v>221</v>
      </c>
      <c r="GG81" s="96" t="s">
        <v>221</v>
      </c>
      <c r="GH81" s="63"/>
      <c r="GI81" s="63"/>
      <c r="GJ81" s="63"/>
      <c r="GK81" s="97">
        <f t="shared" si="84"/>
        <v>0</v>
      </c>
      <c r="GL81" s="98"/>
      <c r="GM81" s="98"/>
      <c r="GN81" s="97">
        <f t="shared" si="121"/>
        <v>0</v>
      </c>
      <c r="GO81" s="97" t="str">
        <f t="shared" si="122"/>
        <v xml:space="preserve"> </v>
      </c>
      <c r="GP81" s="62"/>
      <c r="GQ81" s="63"/>
      <c r="GR81" s="63"/>
      <c r="GS81" s="63"/>
      <c r="GT81" s="63"/>
      <c r="GU81" s="63"/>
      <c r="GV81" s="63"/>
      <c r="GW81" s="63"/>
      <c r="GX81" s="63"/>
      <c r="GY81" s="65" t="str">
        <f t="shared" si="138"/>
        <v/>
      </c>
      <c r="GZ81" s="65" t="str">
        <f t="shared" si="139"/>
        <v/>
      </c>
      <c r="HA81" s="63"/>
      <c r="HB81" s="63"/>
      <c r="HC81" s="63"/>
      <c r="HD81" s="63"/>
      <c r="HE81" s="63"/>
      <c r="HF81" s="63"/>
      <c r="HG81" s="63"/>
      <c r="HH81" s="63"/>
      <c r="HI81" s="63"/>
      <c r="HJ81" s="63"/>
      <c r="HK81" s="63"/>
      <c r="HL81" s="65" t="str">
        <f t="shared" si="140"/>
        <v/>
      </c>
      <c r="HM81" s="65" t="str">
        <f t="shared" si="124"/>
        <v/>
      </c>
      <c r="HN81" s="65" t="str">
        <f t="shared" si="141"/>
        <v/>
      </c>
      <c r="HO81" s="65" t="str">
        <f t="shared" si="142"/>
        <v/>
      </c>
      <c r="HP81" s="99" t="str">
        <f t="shared" si="130"/>
        <v/>
      </c>
      <c r="HQ81" s="99" t="str">
        <f t="shared" si="143"/>
        <v/>
      </c>
      <c r="HR81" s="63"/>
      <c r="HS81" s="63"/>
      <c r="HT81" s="63"/>
      <c r="HU81" s="63"/>
      <c r="HV81" s="63"/>
      <c r="HW81" s="63"/>
      <c r="HX81" s="63"/>
      <c r="HY81" s="63"/>
      <c r="HZ81" s="63"/>
      <c r="IA81" s="63"/>
      <c r="IB81" s="63"/>
      <c r="IC81" s="63"/>
      <c r="ID81" s="63"/>
      <c r="IE81" s="63"/>
      <c r="IF81" s="63"/>
      <c r="IG81" s="63"/>
      <c r="IH81" s="63"/>
      <c r="II81" s="63"/>
      <c r="IJ81" s="63"/>
      <c r="IK81" s="63"/>
      <c r="IL81" s="63"/>
      <c r="IM81" s="62"/>
      <c r="IN81" s="101"/>
      <c r="IO81" s="101"/>
      <c r="IP81" s="63"/>
      <c r="IQ81" s="63"/>
      <c r="IR81" s="63"/>
      <c r="IS81" s="63"/>
      <c r="IT81" s="63"/>
      <c r="IU81" s="63"/>
      <c r="IV81" s="63"/>
      <c r="IW81" s="63"/>
      <c r="IX81" s="63"/>
      <c r="IY81" s="63"/>
      <c r="IZ81" s="63"/>
      <c r="JA81" s="65">
        <f t="shared" si="107"/>
        <v>0</v>
      </c>
      <c r="JB81" s="63"/>
      <c r="JC81" s="101"/>
      <c r="JD81" s="101"/>
      <c r="JE81" s="63"/>
      <c r="JF81" s="63"/>
      <c r="JG81" s="63"/>
      <c r="JH81" s="63"/>
      <c r="JI81" s="63"/>
      <c r="JJ81" s="63"/>
      <c r="JK81" s="63"/>
      <c r="JL81" s="63"/>
      <c r="JM81" s="63"/>
      <c r="JN81" s="63"/>
      <c r="JO81" s="63"/>
      <c r="JP81" s="65">
        <f t="shared" si="133"/>
        <v>0</v>
      </c>
      <c r="JQ81" s="63"/>
      <c r="LM81" s="205"/>
      <c r="LN81" s="102">
        <f>IFERROR(ROWS($IL$8:IL81)," ")</f>
        <v>74</v>
      </c>
      <c r="LO81" s="103" t="str">
        <f>IFERROR(IF([1]Checklist!$C$3='GenInfo (2)'!E81,'GenInfo (2)'!LN81," ")," ")</f>
        <v xml:space="preserve"> </v>
      </c>
      <c r="LP81" s="104" t="str">
        <f>IFERROR(SMALL($LO$8:$LO$94,ROWS($IL$8:IL81))," ")</f>
        <v xml:space="preserve"> </v>
      </c>
      <c r="LQ81" s="102">
        <f>IFERROR(ROWS($IL$8:IL81)," ")</f>
        <v>74</v>
      </c>
      <c r="LR81" s="103" t="str">
        <f>IFERROR(IF([1]Checklist!$C$4='GenInfo (2)'!E81,'GenInfo (2)'!LQ81," ")," ")</f>
        <v xml:space="preserve"> </v>
      </c>
      <c r="LS81" s="104" t="str">
        <f>IFERROR(SMALL($LR$8:$LR$94,ROWS($IL$8:IL81))," ")</f>
        <v xml:space="preserve"> </v>
      </c>
      <c r="LT81" s="102">
        <f>IFERROR(ROWS($IL$8:IL81)," ")</f>
        <v>74</v>
      </c>
      <c r="LU81" s="103" t="str">
        <f>IFERROR(IF([1]Checklist!$C$5='GenInfo (2)'!E81,'GenInfo (2)'!LT81," ")," ")</f>
        <v xml:space="preserve"> </v>
      </c>
      <c r="LV81" s="104" t="str">
        <f>IFERROR(SMALL($LU$8:$LU$94,ROWS($IL$8:IL81))," ")</f>
        <v xml:space="preserve"> </v>
      </c>
      <c r="LW81" s="102">
        <f>IFERROR(ROWS($IL$8:IL81)," ")</f>
        <v>74</v>
      </c>
      <c r="LX81" s="103" t="str">
        <f>IFERROR(IF([1]Checklist!$C$6='GenInfo (2)'!E81,'GenInfo (2)'!LW81," ")," ")</f>
        <v xml:space="preserve"> </v>
      </c>
      <c r="LY81" s="104" t="str">
        <f>IFERROR(SMALL($LX$8:$LX$94,ROWS($IL$8:IL81))," ")</f>
        <v xml:space="preserve"> </v>
      </c>
      <c r="LZ81" s="102">
        <f>IFERROR(ROWS($IL$8:IL81)," ")</f>
        <v>74</v>
      </c>
      <c r="MA81" s="103" t="str">
        <f>IFERROR(IF([1]Checklist!$C$7='GenInfo (2)'!E81,'GenInfo (2)'!LZ81," ")," ")</f>
        <v xml:space="preserve"> </v>
      </c>
      <c r="MB81" s="104" t="str">
        <f>IFERROR(SMALL($MA$8:$MA$94,ROWS($IL$8:IL81))," ")</f>
        <v xml:space="preserve"> </v>
      </c>
      <c r="MC81" s="102">
        <f>IFERROR(ROWS($IL$8:IL81)," ")</f>
        <v>74</v>
      </c>
      <c r="MD81" s="103" t="str">
        <f>IFERROR(IF([1]Checklist!$C$8='GenInfo (2)'!E81,'GenInfo (2)'!MC81," ")," ")</f>
        <v xml:space="preserve"> </v>
      </c>
      <c r="ME81" s="104" t="str">
        <f>IFERROR(SMALL($MD$8:$MD$94,ROWS($IL$8:IL81))," ")</f>
        <v xml:space="preserve"> </v>
      </c>
      <c r="MF81" s="102">
        <f>IFERROR(ROWS($IL$8:IL81)," ")</f>
        <v>74</v>
      </c>
      <c r="MG81" s="103" t="str">
        <f>IFERROR(IF([1]Checklist!$C$9='GenInfo (2)'!E81,'GenInfo (2)'!MF81," ")," ")</f>
        <v xml:space="preserve"> </v>
      </c>
      <c r="MH81" s="104" t="str">
        <f>IFERROR(SMALL($MG$8:$MG$94,ROWS($IL$8:IL81))," ")</f>
        <v xml:space="preserve"> </v>
      </c>
      <c r="MI81" s="102">
        <f>IFERROR(ROWS($IL$8:$IL81)," ")</f>
        <v>74</v>
      </c>
      <c r="MJ81" s="103" t="str">
        <f>IFERROR(IF([1]Checklist!$C$10='GenInfo (2)'!E81,'GenInfo (2)'!MI81," ")," ")</f>
        <v xml:space="preserve"> </v>
      </c>
      <c r="MK81" s="104" t="str">
        <f>IFERROR(SMALL($MJ$8:$MJ$94,ROWS($IL$8:IL81))," ")</f>
        <v xml:space="preserve"> </v>
      </c>
      <c r="ML81" s="102">
        <f>IFERROR(ROWS($IL$8:IL81)," ")</f>
        <v>74</v>
      </c>
      <c r="MM81" s="103" t="str">
        <f>IFERROR(IF([1]Checklist!$C$11='GenInfo (2)'!E81,'GenInfo (2)'!ML81," ")," ")</f>
        <v xml:space="preserve"> </v>
      </c>
      <c r="MN81" s="104" t="str">
        <f>IFERROR(SMALL($MM$8:$MM$94,ROWS($IL$8:IL81))," ")</f>
        <v xml:space="preserve"> </v>
      </c>
      <c r="MO81" s="102">
        <f>IFERROR(ROWS($IL$8:IL81)," ")</f>
        <v>74</v>
      </c>
      <c r="MP81" s="103" t="str">
        <f>IFERROR(IF([1]Checklist!$C$12='GenInfo (2)'!E81,'GenInfo (2)'!MO81," ")," ")</f>
        <v xml:space="preserve"> </v>
      </c>
      <c r="MQ81" s="104" t="str">
        <f>IFERROR(SMALL($MP$8:$MP$94,ROWS($IL$8:IL81))," ")</f>
        <v xml:space="preserve"> </v>
      </c>
      <c r="MR81" s="102">
        <f>IFERROR(ROWS($IL$8:IL81)," ")</f>
        <v>74</v>
      </c>
      <c r="MS81" s="103" t="str">
        <f>IFERROR(IF([1]Checklist!$C$13='GenInfo (2)'!E81,'GenInfo (2)'!MR81," ")," ")</f>
        <v xml:space="preserve"> </v>
      </c>
      <c r="MT81" s="104" t="str">
        <f>IFERROR(SMALL($MS$8:$MS$94,ROWS($IL$8:IL81))," ")</f>
        <v xml:space="preserve"> </v>
      </c>
      <c r="MU81" s="102">
        <f>IFERROR(ROWS($IL$8:IL81)," ")</f>
        <v>74</v>
      </c>
      <c r="MV81" s="103" t="str">
        <f>IFERROR(IF([1]Checklist!$C$14='GenInfo (2)'!E81,'GenInfo (2)'!MU81," ")," ")</f>
        <v xml:space="preserve"> </v>
      </c>
      <c r="MW81" s="104" t="str">
        <f>IFERROR(SMALL($MV$8:$MV$94,ROWS($IL$8:IL81))," ")</f>
        <v xml:space="preserve"> </v>
      </c>
      <c r="MX81" s="102">
        <f>IFERROR(ROWS($IL$8:IL81)," ")</f>
        <v>74</v>
      </c>
      <c r="MY81" s="103" t="str">
        <f>IFERROR(IF([1]Checklist!$C$15='GenInfo (2)'!E81,'GenInfo (2)'!MX81," ")," ")</f>
        <v xml:space="preserve"> </v>
      </c>
      <c r="MZ81" s="104" t="str">
        <f>IFERROR(SMALL($MY$8:$MY$94,ROWS($IL$8:IL81))," ")</f>
        <v xml:space="preserve"> </v>
      </c>
      <c r="NA81" s="102">
        <f>IFERROR(ROWS($IL$8:IL81)," ")</f>
        <v>74</v>
      </c>
      <c r="NB81" s="103" t="str">
        <f>IFERROR(IF([1]Checklist!$C$16='GenInfo (2)'!E81,'GenInfo (2)'!NA81," ")," ")</f>
        <v xml:space="preserve"> </v>
      </c>
      <c r="NC81" s="104" t="str">
        <f>IFERROR(SMALL($NB$8:$NB$94,ROWS($IL$8:IL81))," ")</f>
        <v xml:space="preserve"> </v>
      </c>
      <c r="ND81" s="102">
        <f>IFERROR(ROWS($IL$8:IL81)," ")</f>
        <v>74</v>
      </c>
      <c r="NE81" s="103" t="str">
        <f>IFERROR(IF([1]Checklist!$C$17='GenInfo (2)'!E81,'GenInfo (2)'!ND81," ")," ")</f>
        <v xml:space="preserve"> </v>
      </c>
      <c r="NF81" s="104" t="str">
        <f>IFERROR(SMALL($NE$8:$NE$94,ROWS($IL$8:IL81))," ")</f>
        <v xml:space="preserve"> </v>
      </c>
    </row>
    <row r="82" spans="5:370" ht="14.25" x14ac:dyDescent="0.45">
      <c r="E82" s="64"/>
      <c r="F82" s="63"/>
      <c r="G82" s="64"/>
      <c r="H82" s="63"/>
      <c r="I82" s="63"/>
      <c r="J82" s="63"/>
      <c r="K82" s="62"/>
      <c r="L82" s="67"/>
      <c r="M82" s="67"/>
      <c r="N82" s="67"/>
      <c r="O82" s="68"/>
      <c r="P82" s="67"/>
      <c r="Q82" s="67"/>
      <c r="R82" s="63"/>
      <c r="S82" s="67"/>
      <c r="T82" s="63"/>
      <c r="U82" s="62"/>
      <c r="V82" s="63"/>
      <c r="W82" s="63"/>
      <c r="X82" s="69"/>
      <c r="Y82" s="63"/>
      <c r="Z82" s="69"/>
      <c r="AA82" s="62"/>
      <c r="AB82" s="63"/>
      <c r="AC82" s="63"/>
      <c r="AD82" s="63"/>
      <c r="AE82" s="63"/>
      <c r="AF82" s="63"/>
      <c r="AG82" s="63"/>
      <c r="AH82" s="63"/>
      <c r="AI82" s="63"/>
      <c r="AJ82" s="63"/>
      <c r="AK82" s="62"/>
      <c r="AL82" s="71">
        <f t="shared" si="95"/>
        <v>0</v>
      </c>
      <c r="AM82" s="71">
        <f t="shared" ca="1" si="137"/>
        <v>122</v>
      </c>
      <c r="AN82" s="63"/>
      <c r="AO82" s="72" t="str">
        <f t="shared" ca="1" si="97"/>
        <v/>
      </c>
      <c r="AP82" s="63"/>
      <c r="AQ82" s="73"/>
      <c r="AR82" s="70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2"/>
      <c r="BE82" s="71">
        <f t="shared" si="144"/>
        <v>0</v>
      </c>
      <c r="BF82" s="71">
        <f t="shared" si="144"/>
        <v>0</v>
      </c>
      <c r="BG82" s="71">
        <f t="shared" si="99"/>
        <v>0</v>
      </c>
      <c r="BH82" s="74" t="str">
        <f t="shared" si="100"/>
        <v xml:space="preserve"> </v>
      </c>
      <c r="BI82" s="75" t="str">
        <f t="shared" si="101"/>
        <v xml:space="preserve"> </v>
      </c>
      <c r="BJ82" s="71">
        <f t="shared" si="102"/>
        <v>0</v>
      </c>
      <c r="BK82" s="75" t="str">
        <f t="shared" si="103"/>
        <v xml:space="preserve"> </v>
      </c>
      <c r="BL82" s="76">
        <f t="shared" si="145"/>
        <v>0</v>
      </c>
      <c r="BM82" s="77">
        <f t="shared" si="145"/>
        <v>0</v>
      </c>
      <c r="BN82" s="78"/>
      <c r="BO82" s="67"/>
      <c r="BP82" s="67"/>
      <c r="BQ82" s="63"/>
      <c r="BR82" s="63"/>
      <c r="BS82" s="74" t="str">
        <f t="shared" si="108"/>
        <v xml:space="preserve"> </v>
      </c>
      <c r="BT82" s="79" t="s">
        <v>221</v>
      </c>
      <c r="BU82" s="79" t="s">
        <v>221</v>
      </c>
      <c r="BV82" s="80">
        <v>0</v>
      </c>
      <c r="BW82" s="81">
        <v>0</v>
      </c>
      <c r="BX82" s="82"/>
      <c r="BY82" s="83"/>
      <c r="BZ82" s="83"/>
      <c r="CA82" s="84"/>
      <c r="CB82" s="84"/>
      <c r="CC82" s="74" t="str">
        <f t="shared" si="109"/>
        <v xml:space="preserve"> </v>
      </c>
      <c r="CD82" s="79" t="s">
        <v>221</v>
      </c>
      <c r="CE82" s="81">
        <v>0</v>
      </c>
      <c r="CF82" s="85"/>
      <c r="CG82" s="85"/>
      <c r="CH82" s="85"/>
      <c r="CI82" s="78"/>
      <c r="CJ82" s="78"/>
      <c r="CK82" s="74" t="str">
        <f t="shared" si="110"/>
        <v xml:space="preserve"> </v>
      </c>
      <c r="CL82" s="79" t="s">
        <v>221</v>
      </c>
      <c r="CM82" s="79" t="s">
        <v>221</v>
      </c>
      <c r="CN82" s="86" t="s">
        <v>221</v>
      </c>
      <c r="CO82" s="81">
        <v>0</v>
      </c>
      <c r="CP82" s="87"/>
      <c r="CQ82" s="83"/>
      <c r="CR82" s="83"/>
      <c r="CS82" s="82"/>
      <c r="CT82" s="82"/>
      <c r="CU82" s="74" t="str">
        <f t="shared" si="111"/>
        <v xml:space="preserve"> </v>
      </c>
      <c r="CV82" s="79" t="s">
        <v>221</v>
      </c>
      <c r="CW82" s="79" t="s">
        <v>221</v>
      </c>
      <c r="CX82" s="88" t="s">
        <v>221</v>
      </c>
      <c r="CY82" s="81">
        <v>0</v>
      </c>
      <c r="CZ82" s="89"/>
      <c r="DA82" s="67"/>
      <c r="DB82" s="67"/>
      <c r="DC82" s="78"/>
      <c r="DD82" s="78"/>
      <c r="DE82" s="74" t="str">
        <f t="shared" si="112"/>
        <v xml:space="preserve"> </v>
      </c>
      <c r="DF82" s="79" t="s">
        <v>221</v>
      </c>
      <c r="DG82" s="79" t="s">
        <v>221</v>
      </c>
      <c r="DH82" s="79" t="s">
        <v>221</v>
      </c>
      <c r="DI82" s="81">
        <v>0</v>
      </c>
      <c r="DJ82" s="87"/>
      <c r="DK82" s="83"/>
      <c r="DL82" s="83"/>
      <c r="DM82" s="82"/>
      <c r="DN82" s="82"/>
      <c r="DO82" s="74" t="str">
        <f t="shared" si="113"/>
        <v xml:space="preserve"> </v>
      </c>
      <c r="DP82" s="79" t="s">
        <v>221</v>
      </c>
      <c r="DQ82" s="79" t="s">
        <v>221</v>
      </c>
      <c r="DR82" s="79" t="s">
        <v>221</v>
      </c>
      <c r="DS82" s="81">
        <v>0</v>
      </c>
      <c r="DT82" s="89"/>
      <c r="DU82" s="67"/>
      <c r="DV82" s="67"/>
      <c r="DW82" s="78"/>
      <c r="DX82" s="78"/>
      <c r="DY82" s="74" t="str">
        <f t="shared" si="114"/>
        <v xml:space="preserve"> </v>
      </c>
      <c r="DZ82" s="94"/>
      <c r="EA82" s="94"/>
      <c r="EB82" s="94"/>
      <c r="EC82" s="94"/>
      <c r="ED82" s="87"/>
      <c r="EE82" s="83"/>
      <c r="EF82" s="83"/>
      <c r="EG82" s="82"/>
      <c r="EH82" s="82"/>
      <c r="EI82" s="74" t="str">
        <f t="shared" si="105"/>
        <v xml:space="preserve"> </v>
      </c>
      <c r="EJ82" s="92"/>
      <c r="EK82" s="92"/>
      <c r="EL82" s="92"/>
      <c r="EM82" s="92"/>
      <c r="EN82" s="89"/>
      <c r="EO82" s="67"/>
      <c r="EP82" s="67"/>
      <c r="EQ82" s="78"/>
      <c r="ER82" s="78"/>
      <c r="ES82" s="74" t="str">
        <f t="shared" si="106"/>
        <v xml:space="preserve"> </v>
      </c>
      <c r="ET82" s="94"/>
      <c r="EU82" s="94"/>
      <c r="EV82" s="94">
        <v>0</v>
      </c>
      <c r="EW82" s="76">
        <v>0</v>
      </c>
      <c r="EX82" s="87"/>
      <c r="EY82" s="83"/>
      <c r="EZ82" s="83"/>
      <c r="FA82" s="82"/>
      <c r="FB82" s="82"/>
      <c r="FC82" s="74" t="str">
        <f t="shared" si="115"/>
        <v xml:space="preserve"> </v>
      </c>
      <c r="FD82" s="92"/>
      <c r="FE82" s="92"/>
      <c r="FF82" s="92"/>
      <c r="FG82" s="92"/>
      <c r="FH82" s="76">
        <f t="shared" si="116"/>
        <v>0</v>
      </c>
      <c r="FI82" s="89"/>
      <c r="FJ82" s="67"/>
      <c r="FK82" s="67"/>
      <c r="FL82" s="78"/>
      <c r="FM82" s="78"/>
      <c r="FN82" s="74" t="str">
        <f t="shared" si="117"/>
        <v xml:space="preserve"> </v>
      </c>
      <c r="FO82" s="94"/>
      <c r="FP82" s="94"/>
      <c r="FQ82" s="94"/>
      <c r="FR82" s="94"/>
      <c r="FS82" s="76">
        <f t="shared" si="118"/>
        <v>0</v>
      </c>
      <c r="FT82" s="87"/>
      <c r="FU82" s="83"/>
      <c r="FV82" s="83"/>
      <c r="FW82" s="82"/>
      <c r="FX82" s="82"/>
      <c r="FY82" s="74" t="str">
        <f t="shared" si="119"/>
        <v xml:space="preserve"> </v>
      </c>
      <c r="FZ82" s="92"/>
      <c r="GA82" s="92"/>
      <c r="GB82" s="92"/>
      <c r="GC82" s="92"/>
      <c r="GD82" s="76">
        <f t="shared" si="120"/>
        <v>0</v>
      </c>
      <c r="GE82" s="62"/>
      <c r="GF82" s="96" t="s">
        <v>221</v>
      </c>
      <c r="GG82" s="96" t="s">
        <v>221</v>
      </c>
      <c r="GH82" s="63"/>
      <c r="GI82" s="63"/>
      <c r="GJ82" s="63"/>
      <c r="GK82" s="97">
        <f t="shared" si="84"/>
        <v>0</v>
      </c>
      <c r="GL82" s="98"/>
      <c r="GM82" s="98"/>
      <c r="GN82" s="97">
        <f t="shared" si="121"/>
        <v>0</v>
      </c>
      <c r="GO82" s="97" t="str">
        <f t="shared" si="122"/>
        <v xml:space="preserve"> </v>
      </c>
      <c r="GP82" s="62"/>
      <c r="GQ82" s="63"/>
      <c r="GR82" s="63"/>
      <c r="GS82" s="63"/>
      <c r="GT82" s="63"/>
      <c r="GU82" s="63"/>
      <c r="GV82" s="63"/>
      <c r="GW82" s="63"/>
      <c r="GX82" s="63"/>
      <c r="GY82" s="65" t="str">
        <f t="shared" si="138"/>
        <v/>
      </c>
      <c r="GZ82" s="65" t="str">
        <f t="shared" si="139"/>
        <v/>
      </c>
      <c r="HA82" s="63"/>
      <c r="HB82" s="63"/>
      <c r="HC82" s="63"/>
      <c r="HD82" s="63"/>
      <c r="HE82" s="63"/>
      <c r="HF82" s="63"/>
      <c r="HG82" s="63"/>
      <c r="HH82" s="63"/>
      <c r="HI82" s="63"/>
      <c r="HJ82" s="63"/>
      <c r="HK82" s="63"/>
      <c r="HL82" s="65" t="str">
        <f t="shared" si="140"/>
        <v/>
      </c>
      <c r="HM82" s="65" t="str">
        <f t="shared" si="124"/>
        <v/>
      </c>
      <c r="HN82" s="65" t="str">
        <f t="shared" si="141"/>
        <v/>
      </c>
      <c r="HO82" s="65" t="str">
        <f t="shared" si="142"/>
        <v/>
      </c>
      <c r="HP82" s="99" t="str">
        <f t="shared" si="130"/>
        <v/>
      </c>
      <c r="HQ82" s="99" t="str">
        <f t="shared" si="143"/>
        <v/>
      </c>
      <c r="HR82" s="63"/>
      <c r="HS82" s="63"/>
      <c r="HT82" s="63"/>
      <c r="HU82" s="63"/>
      <c r="HV82" s="63"/>
      <c r="HW82" s="63"/>
      <c r="HX82" s="63"/>
      <c r="HY82" s="63"/>
      <c r="HZ82" s="63"/>
      <c r="IA82" s="63"/>
      <c r="IB82" s="63"/>
      <c r="IC82" s="63"/>
      <c r="ID82" s="63"/>
      <c r="IE82" s="63"/>
      <c r="IF82" s="63"/>
      <c r="IG82" s="63"/>
      <c r="IH82" s="63"/>
      <c r="II82" s="63"/>
      <c r="IJ82" s="63"/>
      <c r="IK82" s="63"/>
      <c r="IL82" s="63"/>
      <c r="IM82" s="62"/>
      <c r="IN82" s="101"/>
      <c r="IO82" s="101"/>
      <c r="IP82" s="63"/>
      <c r="IQ82" s="63"/>
      <c r="IR82" s="63"/>
      <c r="IS82" s="63"/>
      <c r="IT82" s="63"/>
      <c r="IU82" s="63"/>
      <c r="IV82" s="63"/>
      <c r="IW82" s="63"/>
      <c r="IX82" s="63"/>
      <c r="IY82" s="63"/>
      <c r="IZ82" s="63"/>
      <c r="JA82" s="65">
        <f t="shared" si="107"/>
        <v>0</v>
      </c>
      <c r="JB82" s="63"/>
      <c r="JC82" s="101"/>
      <c r="JD82" s="101"/>
      <c r="JE82" s="63"/>
      <c r="JF82" s="63"/>
      <c r="JG82" s="63"/>
      <c r="JH82" s="63"/>
      <c r="JI82" s="63"/>
      <c r="JJ82" s="63"/>
      <c r="JK82" s="63"/>
      <c r="JL82" s="63"/>
      <c r="JM82" s="63"/>
      <c r="JN82" s="63"/>
      <c r="JO82" s="63"/>
      <c r="JP82" s="65">
        <f t="shared" si="133"/>
        <v>0</v>
      </c>
      <c r="JQ82" s="63"/>
      <c r="LM82" s="205"/>
      <c r="LN82" s="102">
        <f>IFERROR(ROWS($IL$8:IL82)," ")</f>
        <v>75</v>
      </c>
      <c r="LO82" s="103" t="str">
        <f>IFERROR(IF([1]Checklist!$C$3='GenInfo (2)'!E82,'GenInfo (2)'!LN82," ")," ")</f>
        <v xml:space="preserve"> </v>
      </c>
      <c r="LP82" s="104" t="str">
        <f>IFERROR(SMALL($LO$8:$LO$94,ROWS($IL$8:IL82))," ")</f>
        <v xml:space="preserve"> </v>
      </c>
      <c r="LQ82" s="102">
        <f>IFERROR(ROWS($IL$8:IL82)," ")</f>
        <v>75</v>
      </c>
      <c r="LR82" s="103" t="str">
        <f>IFERROR(IF([1]Checklist!$C$4='GenInfo (2)'!E82,'GenInfo (2)'!LQ82," ")," ")</f>
        <v xml:space="preserve"> </v>
      </c>
      <c r="LS82" s="104" t="str">
        <f>IFERROR(SMALL($LR$8:$LR$94,ROWS($IL$8:IL82))," ")</f>
        <v xml:space="preserve"> </v>
      </c>
      <c r="LT82" s="102">
        <f>IFERROR(ROWS($IL$8:IL82)," ")</f>
        <v>75</v>
      </c>
      <c r="LU82" s="103" t="str">
        <f>IFERROR(IF([1]Checklist!$C$5='GenInfo (2)'!E82,'GenInfo (2)'!LT82," ")," ")</f>
        <v xml:space="preserve"> </v>
      </c>
      <c r="LV82" s="104" t="str">
        <f>IFERROR(SMALL($LU$8:$LU$94,ROWS($IL$8:IL82))," ")</f>
        <v xml:space="preserve"> </v>
      </c>
      <c r="LW82" s="102">
        <f>IFERROR(ROWS($IL$8:IL82)," ")</f>
        <v>75</v>
      </c>
      <c r="LX82" s="103" t="str">
        <f>IFERROR(IF([1]Checklist!$C$6='GenInfo (2)'!E82,'GenInfo (2)'!LW82," ")," ")</f>
        <v xml:space="preserve"> </v>
      </c>
      <c r="LY82" s="104" t="str">
        <f>IFERROR(SMALL($LX$8:$LX$94,ROWS($IL$8:IL82))," ")</f>
        <v xml:space="preserve"> </v>
      </c>
      <c r="LZ82" s="102">
        <f>IFERROR(ROWS($IL$8:IL82)," ")</f>
        <v>75</v>
      </c>
      <c r="MA82" s="103" t="str">
        <f>IFERROR(IF([1]Checklist!$C$7='GenInfo (2)'!E82,'GenInfo (2)'!LZ82," ")," ")</f>
        <v xml:space="preserve"> </v>
      </c>
      <c r="MB82" s="104" t="str">
        <f>IFERROR(SMALL($MA$8:$MA$94,ROWS($IL$8:IL82))," ")</f>
        <v xml:space="preserve"> </v>
      </c>
      <c r="MC82" s="102">
        <f>IFERROR(ROWS($IL$8:IL82)," ")</f>
        <v>75</v>
      </c>
      <c r="MD82" s="103" t="str">
        <f>IFERROR(IF([1]Checklist!$C$8='GenInfo (2)'!E82,'GenInfo (2)'!MC82," ")," ")</f>
        <v xml:space="preserve"> </v>
      </c>
      <c r="ME82" s="104" t="str">
        <f>IFERROR(SMALL($MD$8:$MD$94,ROWS($IL$8:IL82))," ")</f>
        <v xml:space="preserve"> </v>
      </c>
      <c r="MF82" s="102">
        <f>IFERROR(ROWS($IL$8:IL82)," ")</f>
        <v>75</v>
      </c>
      <c r="MG82" s="103" t="str">
        <f>IFERROR(IF([1]Checklist!$C$9='GenInfo (2)'!E82,'GenInfo (2)'!MF82," ")," ")</f>
        <v xml:space="preserve"> </v>
      </c>
      <c r="MH82" s="104" t="str">
        <f>IFERROR(SMALL($MG$8:$MG$94,ROWS($IL$8:IL82))," ")</f>
        <v xml:space="preserve"> </v>
      </c>
      <c r="MI82" s="102">
        <f>IFERROR(ROWS($IL$8:$IL82)," ")</f>
        <v>75</v>
      </c>
      <c r="MJ82" s="103" t="str">
        <f>IFERROR(IF([1]Checklist!$C$10='GenInfo (2)'!E82,'GenInfo (2)'!MI82," ")," ")</f>
        <v xml:space="preserve"> </v>
      </c>
      <c r="MK82" s="104" t="str">
        <f>IFERROR(SMALL($MJ$8:$MJ$94,ROWS($IL$8:IL82))," ")</f>
        <v xml:space="preserve"> </v>
      </c>
      <c r="ML82" s="102">
        <f>IFERROR(ROWS($IL$8:IL82)," ")</f>
        <v>75</v>
      </c>
      <c r="MM82" s="103" t="str">
        <f>IFERROR(IF([1]Checklist!$C$11='GenInfo (2)'!E82,'GenInfo (2)'!ML82," ")," ")</f>
        <v xml:space="preserve"> </v>
      </c>
      <c r="MN82" s="104" t="str">
        <f>IFERROR(SMALL($MM$8:$MM$94,ROWS($IL$8:IL82))," ")</f>
        <v xml:space="preserve"> </v>
      </c>
      <c r="MO82" s="102">
        <f>IFERROR(ROWS($IL$8:IL82)," ")</f>
        <v>75</v>
      </c>
      <c r="MP82" s="103" t="str">
        <f>IFERROR(IF([1]Checklist!$C$12='GenInfo (2)'!E82,'GenInfo (2)'!MO82," ")," ")</f>
        <v xml:space="preserve"> </v>
      </c>
      <c r="MQ82" s="104" t="str">
        <f>IFERROR(SMALL($MP$8:$MP$94,ROWS($IL$8:IL82))," ")</f>
        <v xml:space="preserve"> </v>
      </c>
      <c r="MR82" s="102">
        <f>IFERROR(ROWS($IL$8:IL82)," ")</f>
        <v>75</v>
      </c>
      <c r="MS82" s="103" t="str">
        <f>IFERROR(IF([1]Checklist!$C$13='GenInfo (2)'!E82,'GenInfo (2)'!MR82," ")," ")</f>
        <v xml:space="preserve"> </v>
      </c>
      <c r="MT82" s="104" t="str">
        <f>IFERROR(SMALL($MS$8:$MS$94,ROWS($IL$8:IL82))," ")</f>
        <v xml:space="preserve"> </v>
      </c>
      <c r="MU82" s="102">
        <f>IFERROR(ROWS($IL$8:IL82)," ")</f>
        <v>75</v>
      </c>
      <c r="MV82" s="103" t="str">
        <f>IFERROR(IF([1]Checklist!$C$14='GenInfo (2)'!E82,'GenInfo (2)'!MU82," ")," ")</f>
        <v xml:space="preserve"> </v>
      </c>
      <c r="MW82" s="104" t="str">
        <f>IFERROR(SMALL($MV$8:$MV$94,ROWS($IL$8:IL82))," ")</f>
        <v xml:space="preserve"> </v>
      </c>
      <c r="MX82" s="102">
        <f>IFERROR(ROWS($IL$8:IL82)," ")</f>
        <v>75</v>
      </c>
      <c r="MY82" s="103" t="str">
        <f>IFERROR(IF([1]Checklist!$C$15='GenInfo (2)'!E82,'GenInfo (2)'!MX82," ")," ")</f>
        <v xml:space="preserve"> </v>
      </c>
      <c r="MZ82" s="104" t="str">
        <f>IFERROR(SMALL($MY$8:$MY$94,ROWS($IL$8:IL82))," ")</f>
        <v xml:space="preserve"> </v>
      </c>
      <c r="NA82" s="102">
        <f>IFERROR(ROWS($IL$8:IL82)," ")</f>
        <v>75</v>
      </c>
      <c r="NB82" s="103" t="str">
        <f>IFERROR(IF([1]Checklist!$C$16='GenInfo (2)'!E82,'GenInfo (2)'!NA82," ")," ")</f>
        <v xml:space="preserve"> </v>
      </c>
      <c r="NC82" s="104" t="str">
        <f>IFERROR(SMALL($NB$8:$NB$94,ROWS($IL$8:IL82))," ")</f>
        <v xml:space="preserve"> </v>
      </c>
      <c r="ND82" s="102">
        <f>IFERROR(ROWS($IL$8:IL82)," ")</f>
        <v>75</v>
      </c>
      <c r="NE82" s="103" t="str">
        <f>IFERROR(IF([1]Checklist!$C$17='GenInfo (2)'!E82,'GenInfo (2)'!ND82," ")," ")</f>
        <v xml:space="preserve"> </v>
      </c>
      <c r="NF82" s="104" t="str">
        <f>IFERROR(SMALL($NE$8:$NE$94,ROWS($IL$8:IL82))," ")</f>
        <v xml:space="preserve"> </v>
      </c>
    </row>
    <row r="83" spans="5:370" ht="14.25" x14ac:dyDescent="0.45">
      <c r="E83" s="64"/>
      <c r="F83" s="63"/>
      <c r="G83" s="64"/>
      <c r="H83" s="63"/>
      <c r="I83" s="63"/>
      <c r="J83" s="63"/>
      <c r="K83" s="62"/>
      <c r="L83" s="67"/>
      <c r="M83" s="67"/>
      <c r="N83" s="67"/>
      <c r="O83" s="68"/>
      <c r="P83" s="67"/>
      <c r="Q83" s="67"/>
      <c r="R83" s="63"/>
      <c r="S83" s="67"/>
      <c r="T83" s="63"/>
      <c r="U83" s="62"/>
      <c r="V83" s="63"/>
      <c r="W83" s="63"/>
      <c r="X83" s="69"/>
      <c r="Y83" s="63"/>
      <c r="Z83" s="69"/>
      <c r="AA83" s="62"/>
      <c r="AB83" s="63"/>
      <c r="AC83" s="63"/>
      <c r="AD83" s="63"/>
      <c r="AE83" s="63"/>
      <c r="AF83" s="63"/>
      <c r="AG83" s="63"/>
      <c r="AH83" s="63"/>
      <c r="AI83" s="63"/>
      <c r="AJ83" s="63"/>
      <c r="AK83" s="62"/>
      <c r="AL83" s="71">
        <f t="shared" si="95"/>
        <v>0</v>
      </c>
      <c r="AM83" s="71">
        <f t="shared" ca="1" si="137"/>
        <v>122</v>
      </c>
      <c r="AN83" s="63"/>
      <c r="AO83" s="72" t="str">
        <f t="shared" ca="1" si="97"/>
        <v/>
      </c>
      <c r="AP83" s="63"/>
      <c r="AQ83" s="73"/>
      <c r="AR83" s="70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2"/>
      <c r="BE83" s="71">
        <f t="shared" si="144"/>
        <v>0</v>
      </c>
      <c r="BF83" s="71">
        <f t="shared" si="144"/>
        <v>0</v>
      </c>
      <c r="BG83" s="71">
        <f t="shared" si="99"/>
        <v>0</v>
      </c>
      <c r="BH83" s="74" t="str">
        <f t="shared" si="100"/>
        <v xml:space="preserve"> </v>
      </c>
      <c r="BI83" s="75" t="str">
        <f t="shared" si="101"/>
        <v xml:space="preserve"> </v>
      </c>
      <c r="BJ83" s="71">
        <f t="shared" si="102"/>
        <v>0</v>
      </c>
      <c r="BK83" s="75" t="str">
        <f t="shared" si="103"/>
        <v xml:space="preserve"> </v>
      </c>
      <c r="BL83" s="76">
        <f t="shared" si="145"/>
        <v>0</v>
      </c>
      <c r="BM83" s="77">
        <f t="shared" si="145"/>
        <v>0</v>
      </c>
      <c r="BN83" s="78"/>
      <c r="BO83" s="67"/>
      <c r="BP83" s="67"/>
      <c r="BQ83" s="63"/>
      <c r="BR83" s="63"/>
      <c r="BS83" s="74" t="str">
        <f t="shared" si="108"/>
        <v xml:space="preserve"> </v>
      </c>
      <c r="BT83" s="79" t="s">
        <v>221</v>
      </c>
      <c r="BU83" s="79" t="s">
        <v>221</v>
      </c>
      <c r="BV83" s="80">
        <v>0</v>
      </c>
      <c r="BW83" s="81">
        <v>0</v>
      </c>
      <c r="BX83" s="82"/>
      <c r="BY83" s="83"/>
      <c r="BZ83" s="83"/>
      <c r="CA83" s="84"/>
      <c r="CB83" s="84"/>
      <c r="CC83" s="74" t="str">
        <f t="shared" si="109"/>
        <v xml:space="preserve"> </v>
      </c>
      <c r="CD83" s="79" t="s">
        <v>221</v>
      </c>
      <c r="CE83" s="81">
        <v>0</v>
      </c>
      <c r="CF83" s="85"/>
      <c r="CG83" s="85"/>
      <c r="CH83" s="85"/>
      <c r="CI83" s="78"/>
      <c r="CJ83" s="78"/>
      <c r="CK83" s="74" t="str">
        <f t="shared" si="110"/>
        <v xml:space="preserve"> </v>
      </c>
      <c r="CL83" s="79" t="s">
        <v>221</v>
      </c>
      <c r="CM83" s="79" t="s">
        <v>221</v>
      </c>
      <c r="CN83" s="86" t="s">
        <v>221</v>
      </c>
      <c r="CO83" s="81">
        <v>0</v>
      </c>
      <c r="CP83" s="87"/>
      <c r="CQ83" s="83"/>
      <c r="CR83" s="83"/>
      <c r="CS83" s="82"/>
      <c r="CT83" s="82"/>
      <c r="CU83" s="74" t="str">
        <f t="shared" si="111"/>
        <v xml:space="preserve"> </v>
      </c>
      <c r="CV83" s="79" t="s">
        <v>221</v>
      </c>
      <c r="CW83" s="79" t="s">
        <v>221</v>
      </c>
      <c r="CX83" s="88" t="s">
        <v>221</v>
      </c>
      <c r="CY83" s="81">
        <v>0</v>
      </c>
      <c r="CZ83" s="89"/>
      <c r="DA83" s="67"/>
      <c r="DB83" s="67"/>
      <c r="DC83" s="78"/>
      <c r="DD83" s="78"/>
      <c r="DE83" s="74" t="str">
        <f t="shared" si="112"/>
        <v xml:space="preserve"> </v>
      </c>
      <c r="DF83" s="79" t="s">
        <v>221</v>
      </c>
      <c r="DG83" s="79" t="s">
        <v>221</v>
      </c>
      <c r="DH83" s="79" t="s">
        <v>221</v>
      </c>
      <c r="DI83" s="81">
        <v>0</v>
      </c>
      <c r="DJ83" s="87"/>
      <c r="DK83" s="83"/>
      <c r="DL83" s="83"/>
      <c r="DM83" s="82"/>
      <c r="DN83" s="82"/>
      <c r="DO83" s="74" t="str">
        <f t="shared" si="113"/>
        <v xml:space="preserve"> </v>
      </c>
      <c r="DP83" s="79" t="s">
        <v>221</v>
      </c>
      <c r="DQ83" s="79" t="s">
        <v>221</v>
      </c>
      <c r="DR83" s="79" t="s">
        <v>221</v>
      </c>
      <c r="DS83" s="81">
        <v>0</v>
      </c>
      <c r="DT83" s="89"/>
      <c r="DU83" s="67"/>
      <c r="DV83" s="67"/>
      <c r="DW83" s="78"/>
      <c r="DX83" s="78"/>
      <c r="DY83" s="74" t="str">
        <f t="shared" si="114"/>
        <v xml:space="preserve"> </v>
      </c>
      <c r="DZ83" s="94"/>
      <c r="EA83" s="94"/>
      <c r="EB83" s="94"/>
      <c r="EC83" s="94"/>
      <c r="ED83" s="87"/>
      <c r="EE83" s="83"/>
      <c r="EF83" s="83"/>
      <c r="EG83" s="82"/>
      <c r="EH83" s="82"/>
      <c r="EI83" s="74" t="str">
        <f t="shared" si="105"/>
        <v xml:space="preserve"> </v>
      </c>
      <c r="EJ83" s="92"/>
      <c r="EK83" s="92"/>
      <c r="EL83" s="92"/>
      <c r="EM83" s="92"/>
      <c r="EN83" s="89"/>
      <c r="EO83" s="67"/>
      <c r="EP83" s="67"/>
      <c r="EQ83" s="78"/>
      <c r="ER83" s="78"/>
      <c r="ES83" s="74" t="str">
        <f t="shared" si="106"/>
        <v xml:space="preserve"> </v>
      </c>
      <c r="ET83" s="94"/>
      <c r="EU83" s="94"/>
      <c r="EV83" s="94">
        <v>0</v>
      </c>
      <c r="EW83" s="76">
        <v>0</v>
      </c>
      <c r="EX83" s="87"/>
      <c r="EY83" s="83"/>
      <c r="EZ83" s="83"/>
      <c r="FA83" s="82"/>
      <c r="FB83" s="82"/>
      <c r="FC83" s="74" t="str">
        <f t="shared" si="115"/>
        <v xml:space="preserve"> </v>
      </c>
      <c r="FD83" s="92"/>
      <c r="FE83" s="92"/>
      <c r="FF83" s="92"/>
      <c r="FG83" s="92"/>
      <c r="FH83" s="76">
        <f t="shared" si="116"/>
        <v>0</v>
      </c>
      <c r="FI83" s="89"/>
      <c r="FJ83" s="67"/>
      <c r="FK83" s="67"/>
      <c r="FL83" s="78"/>
      <c r="FM83" s="78"/>
      <c r="FN83" s="74" t="str">
        <f t="shared" si="117"/>
        <v xml:space="preserve"> </v>
      </c>
      <c r="FO83" s="94"/>
      <c r="FP83" s="94"/>
      <c r="FQ83" s="94"/>
      <c r="FR83" s="94"/>
      <c r="FS83" s="76">
        <f t="shared" si="118"/>
        <v>0</v>
      </c>
      <c r="FT83" s="87"/>
      <c r="FU83" s="83"/>
      <c r="FV83" s="83"/>
      <c r="FW83" s="82"/>
      <c r="FX83" s="82"/>
      <c r="FY83" s="74" t="str">
        <f t="shared" si="119"/>
        <v xml:space="preserve"> </v>
      </c>
      <c r="FZ83" s="92"/>
      <c r="GA83" s="92"/>
      <c r="GB83" s="92"/>
      <c r="GC83" s="92"/>
      <c r="GD83" s="76">
        <f t="shared" si="120"/>
        <v>0</v>
      </c>
      <c r="GE83" s="62"/>
      <c r="GF83" s="96" t="s">
        <v>221</v>
      </c>
      <c r="GG83" s="96" t="s">
        <v>221</v>
      </c>
      <c r="GH83" s="63"/>
      <c r="GI83" s="63"/>
      <c r="GJ83" s="63"/>
      <c r="GK83" s="97">
        <f t="shared" si="84"/>
        <v>0</v>
      </c>
      <c r="GL83" s="98"/>
      <c r="GM83" s="98"/>
      <c r="GN83" s="97">
        <f t="shared" si="121"/>
        <v>0</v>
      </c>
      <c r="GO83" s="97" t="str">
        <f t="shared" si="122"/>
        <v xml:space="preserve"> </v>
      </c>
      <c r="GP83" s="62"/>
      <c r="GQ83" s="63"/>
      <c r="GR83" s="63"/>
      <c r="GS83" s="63"/>
      <c r="GT83" s="63"/>
      <c r="GU83" s="63"/>
      <c r="GV83" s="63"/>
      <c r="GW83" s="63"/>
      <c r="GX83" s="63"/>
      <c r="GY83" s="65" t="str">
        <f t="shared" si="138"/>
        <v/>
      </c>
      <c r="GZ83" s="65" t="str">
        <f t="shared" si="139"/>
        <v/>
      </c>
      <c r="HA83" s="63"/>
      <c r="HB83" s="63"/>
      <c r="HC83" s="63"/>
      <c r="HD83" s="63"/>
      <c r="HE83" s="63"/>
      <c r="HF83" s="63"/>
      <c r="HG83" s="63"/>
      <c r="HH83" s="63"/>
      <c r="HI83" s="63"/>
      <c r="HJ83" s="63"/>
      <c r="HK83" s="63"/>
      <c r="HL83" s="65" t="str">
        <f t="shared" si="140"/>
        <v/>
      </c>
      <c r="HM83" s="65" t="str">
        <f t="shared" si="124"/>
        <v/>
      </c>
      <c r="HN83" s="65" t="str">
        <f t="shared" si="141"/>
        <v/>
      </c>
      <c r="HO83" s="65" t="str">
        <f t="shared" si="142"/>
        <v/>
      </c>
      <c r="HP83" s="99" t="str">
        <f t="shared" si="130"/>
        <v/>
      </c>
      <c r="HQ83" s="99" t="str">
        <f t="shared" si="143"/>
        <v/>
      </c>
      <c r="HR83" s="63"/>
      <c r="HS83" s="63"/>
      <c r="HT83" s="63"/>
      <c r="HU83" s="63"/>
      <c r="HV83" s="63"/>
      <c r="HW83" s="63"/>
      <c r="HX83" s="63"/>
      <c r="HY83" s="63"/>
      <c r="HZ83" s="63"/>
      <c r="IA83" s="63"/>
      <c r="IB83" s="63"/>
      <c r="IC83" s="63"/>
      <c r="ID83" s="63"/>
      <c r="IE83" s="63"/>
      <c r="IF83" s="63"/>
      <c r="IG83" s="63"/>
      <c r="IH83" s="63"/>
      <c r="II83" s="63"/>
      <c r="IJ83" s="63"/>
      <c r="IK83" s="63"/>
      <c r="IL83" s="63"/>
      <c r="IM83" s="62"/>
      <c r="IN83" s="101"/>
      <c r="IO83" s="101"/>
      <c r="IP83" s="63"/>
      <c r="IQ83" s="63"/>
      <c r="IR83" s="63"/>
      <c r="IS83" s="63"/>
      <c r="IT83" s="63"/>
      <c r="IU83" s="63"/>
      <c r="IV83" s="63"/>
      <c r="IW83" s="63"/>
      <c r="IX83" s="63"/>
      <c r="IY83" s="63"/>
      <c r="IZ83" s="63"/>
      <c r="JA83" s="65">
        <f t="shared" si="107"/>
        <v>0</v>
      </c>
      <c r="JB83" s="63"/>
      <c r="JC83" s="101"/>
      <c r="JD83" s="101"/>
      <c r="JE83" s="63"/>
      <c r="JF83" s="63"/>
      <c r="JG83" s="63"/>
      <c r="JH83" s="63"/>
      <c r="JI83" s="63"/>
      <c r="JJ83" s="63"/>
      <c r="JK83" s="63"/>
      <c r="JL83" s="63"/>
      <c r="JM83" s="63"/>
      <c r="JN83" s="63"/>
      <c r="JO83" s="63"/>
      <c r="JP83" s="65">
        <f t="shared" si="133"/>
        <v>0</v>
      </c>
      <c r="JQ83" s="63"/>
      <c r="LM83" s="205"/>
      <c r="LN83" s="102">
        <f>IFERROR(ROWS($IL$8:IL83)," ")</f>
        <v>76</v>
      </c>
      <c r="LO83" s="103" t="str">
        <f>IFERROR(IF([1]Checklist!$C$3='GenInfo (2)'!E83,'GenInfo (2)'!LN83," ")," ")</f>
        <v xml:space="preserve"> </v>
      </c>
      <c r="LP83" s="104" t="str">
        <f>IFERROR(SMALL($LO$8:$LO$94,ROWS($IL$8:IL83))," ")</f>
        <v xml:space="preserve"> </v>
      </c>
      <c r="LQ83" s="102">
        <f>IFERROR(ROWS($IL$8:IL83)," ")</f>
        <v>76</v>
      </c>
      <c r="LR83" s="103" t="str">
        <f>IFERROR(IF([1]Checklist!$C$4='GenInfo (2)'!E83,'GenInfo (2)'!LQ83," ")," ")</f>
        <v xml:space="preserve"> </v>
      </c>
      <c r="LS83" s="104" t="str">
        <f>IFERROR(SMALL($LR$8:$LR$94,ROWS($IL$8:IL83))," ")</f>
        <v xml:space="preserve"> </v>
      </c>
      <c r="LT83" s="102">
        <f>IFERROR(ROWS($IL$8:IL83)," ")</f>
        <v>76</v>
      </c>
      <c r="LU83" s="103" t="str">
        <f>IFERROR(IF([1]Checklist!$C$5='GenInfo (2)'!E83,'GenInfo (2)'!LT83," ")," ")</f>
        <v xml:space="preserve"> </v>
      </c>
      <c r="LV83" s="104" t="str">
        <f>IFERROR(SMALL($LU$8:$LU$94,ROWS($IL$8:IL83))," ")</f>
        <v xml:space="preserve"> </v>
      </c>
      <c r="LW83" s="102">
        <f>IFERROR(ROWS($IL$8:IL83)," ")</f>
        <v>76</v>
      </c>
      <c r="LX83" s="103" t="str">
        <f>IFERROR(IF([1]Checklist!$C$6='GenInfo (2)'!E83,'GenInfo (2)'!LW83," ")," ")</f>
        <v xml:space="preserve"> </v>
      </c>
      <c r="LY83" s="104" t="str">
        <f>IFERROR(SMALL($LX$8:$LX$94,ROWS($IL$8:IL83))," ")</f>
        <v xml:space="preserve"> </v>
      </c>
      <c r="LZ83" s="102">
        <f>IFERROR(ROWS($IL$8:IL83)," ")</f>
        <v>76</v>
      </c>
      <c r="MA83" s="103" t="str">
        <f>IFERROR(IF([1]Checklist!$C$7='GenInfo (2)'!E83,'GenInfo (2)'!LZ83," ")," ")</f>
        <v xml:space="preserve"> </v>
      </c>
      <c r="MB83" s="104" t="str">
        <f>IFERROR(SMALL($MA$8:$MA$94,ROWS($IL$8:IL83))," ")</f>
        <v xml:space="preserve"> </v>
      </c>
      <c r="MC83" s="102">
        <f>IFERROR(ROWS($IL$8:IL83)," ")</f>
        <v>76</v>
      </c>
      <c r="MD83" s="103" t="str">
        <f>IFERROR(IF([1]Checklist!$C$8='GenInfo (2)'!E83,'GenInfo (2)'!MC83," ")," ")</f>
        <v xml:space="preserve"> </v>
      </c>
      <c r="ME83" s="104" t="str">
        <f>IFERROR(SMALL($MD$8:$MD$94,ROWS($IL$8:IL83))," ")</f>
        <v xml:space="preserve"> </v>
      </c>
      <c r="MF83" s="102">
        <f>IFERROR(ROWS($IL$8:IL83)," ")</f>
        <v>76</v>
      </c>
      <c r="MG83" s="103" t="str">
        <f>IFERROR(IF([1]Checklist!$C$9='GenInfo (2)'!E83,'GenInfo (2)'!MF83," ")," ")</f>
        <v xml:space="preserve"> </v>
      </c>
      <c r="MH83" s="104" t="str">
        <f>IFERROR(SMALL($MG$8:$MG$94,ROWS($IL$8:IL83))," ")</f>
        <v xml:space="preserve"> </v>
      </c>
      <c r="MI83" s="102">
        <f>IFERROR(ROWS($IL$8:$IL83)," ")</f>
        <v>76</v>
      </c>
      <c r="MJ83" s="103" t="str">
        <f>IFERROR(IF([1]Checklist!$C$10='GenInfo (2)'!E83,'GenInfo (2)'!MI83," ")," ")</f>
        <v xml:space="preserve"> </v>
      </c>
      <c r="MK83" s="104" t="str">
        <f>IFERROR(SMALL($MJ$8:$MJ$94,ROWS($IL$8:IL83))," ")</f>
        <v xml:space="preserve"> </v>
      </c>
      <c r="ML83" s="102">
        <f>IFERROR(ROWS($IL$8:IL83)," ")</f>
        <v>76</v>
      </c>
      <c r="MM83" s="103" t="str">
        <f>IFERROR(IF([1]Checklist!$C$11='GenInfo (2)'!E83,'GenInfo (2)'!ML83," ")," ")</f>
        <v xml:space="preserve"> </v>
      </c>
      <c r="MN83" s="104" t="str">
        <f>IFERROR(SMALL($MM$8:$MM$94,ROWS($IL$8:IL83))," ")</f>
        <v xml:space="preserve"> </v>
      </c>
      <c r="MO83" s="102">
        <f>IFERROR(ROWS($IL$8:IL83)," ")</f>
        <v>76</v>
      </c>
      <c r="MP83" s="103" t="str">
        <f>IFERROR(IF([1]Checklist!$C$12='GenInfo (2)'!E83,'GenInfo (2)'!MO83," ")," ")</f>
        <v xml:space="preserve"> </v>
      </c>
      <c r="MQ83" s="104" t="str">
        <f>IFERROR(SMALL($MP$8:$MP$94,ROWS($IL$8:IL83))," ")</f>
        <v xml:space="preserve"> </v>
      </c>
      <c r="MR83" s="102">
        <f>IFERROR(ROWS($IL$8:IL83)," ")</f>
        <v>76</v>
      </c>
      <c r="MS83" s="103" t="str">
        <f>IFERROR(IF([1]Checklist!$C$13='GenInfo (2)'!E83,'GenInfo (2)'!MR83," ")," ")</f>
        <v xml:space="preserve"> </v>
      </c>
      <c r="MT83" s="104" t="str">
        <f>IFERROR(SMALL($MS$8:$MS$94,ROWS($IL$8:IL83))," ")</f>
        <v xml:space="preserve"> </v>
      </c>
      <c r="MU83" s="102">
        <f>IFERROR(ROWS($IL$8:IL83)," ")</f>
        <v>76</v>
      </c>
      <c r="MV83" s="103" t="str">
        <f>IFERROR(IF([1]Checklist!$C$14='GenInfo (2)'!E83,'GenInfo (2)'!MU83," ")," ")</f>
        <v xml:space="preserve"> </v>
      </c>
      <c r="MW83" s="104" t="str">
        <f>IFERROR(SMALL($MV$8:$MV$94,ROWS($IL$8:IL83))," ")</f>
        <v xml:space="preserve"> </v>
      </c>
      <c r="MX83" s="102">
        <f>IFERROR(ROWS($IL$8:IL83)," ")</f>
        <v>76</v>
      </c>
      <c r="MY83" s="103" t="str">
        <f>IFERROR(IF([1]Checklist!$C$15='GenInfo (2)'!E83,'GenInfo (2)'!MX83," ")," ")</f>
        <v xml:space="preserve"> </v>
      </c>
      <c r="MZ83" s="104" t="str">
        <f>IFERROR(SMALL($MY$8:$MY$94,ROWS($IL$8:IL83))," ")</f>
        <v xml:space="preserve"> </v>
      </c>
      <c r="NA83" s="102">
        <f>IFERROR(ROWS($IL$8:IL83)," ")</f>
        <v>76</v>
      </c>
      <c r="NB83" s="103" t="str">
        <f>IFERROR(IF([1]Checklist!$C$16='GenInfo (2)'!E83,'GenInfo (2)'!NA83," ")," ")</f>
        <v xml:space="preserve"> </v>
      </c>
      <c r="NC83" s="104" t="str">
        <f>IFERROR(SMALL($NB$8:$NB$94,ROWS($IL$8:IL83))," ")</f>
        <v xml:space="preserve"> </v>
      </c>
      <c r="ND83" s="102">
        <f>IFERROR(ROWS($IL$8:IL83)," ")</f>
        <v>76</v>
      </c>
      <c r="NE83" s="103" t="str">
        <f>IFERROR(IF([1]Checklist!$C$17='GenInfo (2)'!E83,'GenInfo (2)'!ND83," ")," ")</f>
        <v xml:space="preserve"> </v>
      </c>
      <c r="NF83" s="104" t="str">
        <f>IFERROR(SMALL($NE$8:$NE$94,ROWS($IL$8:IL83))," ")</f>
        <v xml:space="preserve"> </v>
      </c>
    </row>
    <row r="84" spans="5:370" ht="14.25" x14ac:dyDescent="0.45">
      <c r="E84" s="64"/>
      <c r="F84" s="63"/>
      <c r="G84" s="64"/>
      <c r="H84" s="63"/>
      <c r="I84" s="63"/>
      <c r="J84" s="63"/>
      <c r="K84" s="62"/>
      <c r="L84" s="67"/>
      <c r="M84" s="67"/>
      <c r="N84" s="67"/>
      <c r="O84" s="68"/>
      <c r="P84" s="67"/>
      <c r="Q84" s="67"/>
      <c r="R84" s="63"/>
      <c r="S84" s="67"/>
      <c r="T84" s="63"/>
      <c r="U84" s="62"/>
      <c r="V84" s="63"/>
      <c r="W84" s="63"/>
      <c r="X84" s="69"/>
      <c r="Y84" s="63"/>
      <c r="Z84" s="69"/>
      <c r="AA84" s="62"/>
      <c r="AB84" s="63"/>
      <c r="AC84" s="63"/>
      <c r="AD84" s="63"/>
      <c r="AE84" s="63"/>
      <c r="AF84" s="63"/>
      <c r="AG84" s="63"/>
      <c r="AH84" s="63"/>
      <c r="AI84" s="63"/>
      <c r="AJ84" s="63"/>
      <c r="AK84" s="62"/>
      <c r="AL84" s="71">
        <f t="shared" si="95"/>
        <v>0</v>
      </c>
      <c r="AM84" s="71">
        <f t="shared" ca="1" si="137"/>
        <v>122</v>
      </c>
      <c r="AN84" s="63"/>
      <c r="AO84" s="72" t="str">
        <f t="shared" ca="1" si="97"/>
        <v/>
      </c>
      <c r="AP84" s="63"/>
      <c r="AQ84" s="73"/>
      <c r="AR84" s="70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2"/>
      <c r="BE84" s="71">
        <f t="shared" si="144"/>
        <v>0</v>
      </c>
      <c r="BF84" s="71">
        <f t="shared" si="144"/>
        <v>0</v>
      </c>
      <c r="BG84" s="71">
        <f t="shared" si="99"/>
        <v>0</v>
      </c>
      <c r="BH84" s="74" t="str">
        <f t="shared" si="100"/>
        <v xml:space="preserve"> </v>
      </c>
      <c r="BI84" s="75" t="str">
        <f t="shared" si="101"/>
        <v xml:space="preserve"> </v>
      </c>
      <c r="BJ84" s="71">
        <f t="shared" si="102"/>
        <v>0</v>
      </c>
      <c r="BK84" s="75" t="str">
        <f t="shared" si="103"/>
        <v xml:space="preserve"> </v>
      </c>
      <c r="BL84" s="76">
        <f t="shared" si="145"/>
        <v>0</v>
      </c>
      <c r="BM84" s="77">
        <f t="shared" si="145"/>
        <v>0</v>
      </c>
      <c r="BN84" s="78"/>
      <c r="BO84" s="67"/>
      <c r="BP84" s="67"/>
      <c r="BQ84" s="63"/>
      <c r="BR84" s="63"/>
      <c r="BS84" s="74" t="str">
        <f t="shared" si="108"/>
        <v xml:space="preserve"> </v>
      </c>
      <c r="BT84" s="79" t="s">
        <v>221</v>
      </c>
      <c r="BU84" s="79" t="s">
        <v>221</v>
      </c>
      <c r="BV84" s="80">
        <v>0</v>
      </c>
      <c r="BW84" s="81">
        <v>0</v>
      </c>
      <c r="BX84" s="82"/>
      <c r="BY84" s="83"/>
      <c r="BZ84" s="83"/>
      <c r="CA84" s="84"/>
      <c r="CB84" s="84"/>
      <c r="CC84" s="74" t="str">
        <f t="shared" si="109"/>
        <v xml:space="preserve"> </v>
      </c>
      <c r="CD84" s="79" t="s">
        <v>221</v>
      </c>
      <c r="CE84" s="81">
        <v>0</v>
      </c>
      <c r="CF84" s="85"/>
      <c r="CG84" s="85"/>
      <c r="CH84" s="85"/>
      <c r="CI84" s="78"/>
      <c r="CJ84" s="78"/>
      <c r="CK84" s="74" t="str">
        <f t="shared" si="110"/>
        <v xml:space="preserve"> </v>
      </c>
      <c r="CL84" s="79" t="s">
        <v>221</v>
      </c>
      <c r="CM84" s="79" t="s">
        <v>221</v>
      </c>
      <c r="CN84" s="86" t="s">
        <v>221</v>
      </c>
      <c r="CO84" s="81">
        <v>0</v>
      </c>
      <c r="CP84" s="87"/>
      <c r="CQ84" s="83"/>
      <c r="CR84" s="83"/>
      <c r="CS84" s="82"/>
      <c r="CT84" s="82"/>
      <c r="CU84" s="74" t="str">
        <f t="shared" si="111"/>
        <v xml:space="preserve"> </v>
      </c>
      <c r="CV84" s="79" t="s">
        <v>221</v>
      </c>
      <c r="CW84" s="79" t="s">
        <v>221</v>
      </c>
      <c r="CX84" s="88" t="s">
        <v>221</v>
      </c>
      <c r="CY84" s="81">
        <v>0</v>
      </c>
      <c r="CZ84" s="89"/>
      <c r="DA84" s="67"/>
      <c r="DB84" s="67"/>
      <c r="DC84" s="78"/>
      <c r="DD84" s="78"/>
      <c r="DE84" s="74" t="str">
        <f t="shared" si="112"/>
        <v xml:space="preserve"> </v>
      </c>
      <c r="DF84" s="79" t="s">
        <v>221</v>
      </c>
      <c r="DG84" s="79" t="s">
        <v>221</v>
      </c>
      <c r="DH84" s="79" t="s">
        <v>221</v>
      </c>
      <c r="DI84" s="81">
        <v>0</v>
      </c>
      <c r="DJ84" s="87"/>
      <c r="DK84" s="83"/>
      <c r="DL84" s="83"/>
      <c r="DM84" s="82"/>
      <c r="DN84" s="82"/>
      <c r="DO84" s="74" t="str">
        <f t="shared" si="113"/>
        <v xml:space="preserve"> </v>
      </c>
      <c r="DP84" s="79" t="s">
        <v>221</v>
      </c>
      <c r="DQ84" s="79" t="s">
        <v>221</v>
      </c>
      <c r="DR84" s="79" t="s">
        <v>221</v>
      </c>
      <c r="DS84" s="81">
        <v>0</v>
      </c>
      <c r="DT84" s="89"/>
      <c r="DU84" s="67"/>
      <c r="DV84" s="67"/>
      <c r="DW84" s="78"/>
      <c r="DX84" s="78"/>
      <c r="DY84" s="74" t="str">
        <f t="shared" si="114"/>
        <v xml:space="preserve"> </v>
      </c>
      <c r="DZ84" s="94"/>
      <c r="EA84" s="94"/>
      <c r="EB84" s="94"/>
      <c r="EC84" s="94"/>
      <c r="ED84" s="87"/>
      <c r="EE84" s="83"/>
      <c r="EF84" s="83"/>
      <c r="EG84" s="82"/>
      <c r="EH84" s="82"/>
      <c r="EI84" s="74" t="str">
        <f t="shared" si="105"/>
        <v xml:space="preserve"> </v>
      </c>
      <c r="EJ84" s="92"/>
      <c r="EK84" s="92"/>
      <c r="EL84" s="92"/>
      <c r="EM84" s="92"/>
      <c r="EN84" s="89"/>
      <c r="EO84" s="67"/>
      <c r="EP84" s="67"/>
      <c r="EQ84" s="78"/>
      <c r="ER84" s="78"/>
      <c r="ES84" s="74" t="str">
        <f t="shared" si="106"/>
        <v xml:space="preserve"> </v>
      </c>
      <c r="ET84" s="94"/>
      <c r="EU84" s="94"/>
      <c r="EV84" s="94">
        <v>0</v>
      </c>
      <c r="EW84" s="76">
        <v>0</v>
      </c>
      <c r="EX84" s="87"/>
      <c r="EY84" s="83"/>
      <c r="EZ84" s="83"/>
      <c r="FA84" s="82"/>
      <c r="FB84" s="82"/>
      <c r="FC84" s="74" t="str">
        <f t="shared" si="115"/>
        <v xml:space="preserve"> </v>
      </c>
      <c r="FD84" s="92"/>
      <c r="FE84" s="92"/>
      <c r="FF84" s="92"/>
      <c r="FG84" s="92"/>
      <c r="FH84" s="76">
        <f t="shared" si="116"/>
        <v>0</v>
      </c>
      <c r="FI84" s="89"/>
      <c r="FJ84" s="67"/>
      <c r="FK84" s="67"/>
      <c r="FL84" s="78"/>
      <c r="FM84" s="78"/>
      <c r="FN84" s="74" t="str">
        <f t="shared" si="117"/>
        <v xml:space="preserve"> </v>
      </c>
      <c r="FO84" s="94"/>
      <c r="FP84" s="94"/>
      <c r="FQ84" s="94"/>
      <c r="FR84" s="94"/>
      <c r="FS84" s="76">
        <f t="shared" si="118"/>
        <v>0</v>
      </c>
      <c r="FT84" s="87"/>
      <c r="FU84" s="83"/>
      <c r="FV84" s="83"/>
      <c r="FW84" s="82"/>
      <c r="FX84" s="82"/>
      <c r="FY84" s="74" t="str">
        <f t="shared" si="119"/>
        <v xml:space="preserve"> </v>
      </c>
      <c r="FZ84" s="92"/>
      <c r="GA84" s="92"/>
      <c r="GB84" s="92"/>
      <c r="GC84" s="92"/>
      <c r="GD84" s="76">
        <f t="shared" si="120"/>
        <v>0</v>
      </c>
      <c r="GE84" s="62"/>
      <c r="GF84" s="96" t="s">
        <v>221</v>
      </c>
      <c r="GG84" s="96" t="s">
        <v>221</v>
      </c>
      <c r="GH84" s="63"/>
      <c r="GI84" s="63"/>
      <c r="GJ84" s="63"/>
      <c r="GK84" s="97">
        <f t="shared" si="84"/>
        <v>0</v>
      </c>
      <c r="GL84" s="98"/>
      <c r="GM84" s="98"/>
      <c r="GN84" s="97">
        <f t="shared" si="121"/>
        <v>0</v>
      </c>
      <c r="GO84" s="97" t="str">
        <f t="shared" si="122"/>
        <v xml:space="preserve"> </v>
      </c>
      <c r="GP84" s="62"/>
      <c r="GQ84" s="63"/>
      <c r="GR84" s="63"/>
      <c r="GS84" s="63"/>
      <c r="GT84" s="63"/>
      <c r="GU84" s="63"/>
      <c r="GV84" s="63"/>
      <c r="GW84" s="63"/>
      <c r="GX84" s="63"/>
      <c r="GY84" s="65" t="str">
        <f t="shared" si="138"/>
        <v/>
      </c>
      <c r="GZ84" s="65" t="str">
        <f t="shared" si="139"/>
        <v/>
      </c>
      <c r="HA84" s="63"/>
      <c r="HB84" s="63"/>
      <c r="HC84" s="63"/>
      <c r="HD84" s="63"/>
      <c r="HE84" s="63"/>
      <c r="HF84" s="63"/>
      <c r="HG84" s="63"/>
      <c r="HH84" s="63"/>
      <c r="HI84" s="63"/>
      <c r="HJ84" s="63"/>
      <c r="HK84" s="63"/>
      <c r="HL84" s="65" t="str">
        <f t="shared" si="140"/>
        <v/>
      </c>
      <c r="HM84" s="65" t="str">
        <f t="shared" si="124"/>
        <v/>
      </c>
      <c r="HN84" s="65" t="str">
        <f t="shared" si="141"/>
        <v/>
      </c>
      <c r="HO84" s="65" t="str">
        <f t="shared" si="142"/>
        <v/>
      </c>
      <c r="HP84" s="99" t="str">
        <f t="shared" si="130"/>
        <v/>
      </c>
      <c r="HQ84" s="99" t="str">
        <f t="shared" si="143"/>
        <v/>
      </c>
      <c r="HR84" s="63"/>
      <c r="HS84" s="63"/>
      <c r="HT84" s="63"/>
      <c r="HU84" s="63"/>
      <c r="HV84" s="63"/>
      <c r="HW84" s="63"/>
      <c r="HX84" s="63"/>
      <c r="HY84" s="63"/>
      <c r="HZ84" s="63"/>
      <c r="IA84" s="63"/>
      <c r="IB84" s="63"/>
      <c r="IC84" s="63"/>
      <c r="ID84" s="63"/>
      <c r="IE84" s="63"/>
      <c r="IF84" s="63"/>
      <c r="IG84" s="63"/>
      <c r="IH84" s="63"/>
      <c r="II84" s="63"/>
      <c r="IJ84" s="63"/>
      <c r="IK84" s="63"/>
      <c r="IL84" s="63"/>
      <c r="IM84" s="62"/>
      <c r="IN84" s="101"/>
      <c r="IO84" s="101"/>
      <c r="IP84" s="63"/>
      <c r="IQ84" s="63"/>
      <c r="IR84" s="63"/>
      <c r="IS84" s="63"/>
      <c r="IT84" s="63"/>
      <c r="IU84" s="63"/>
      <c r="IV84" s="63"/>
      <c r="IW84" s="63"/>
      <c r="IX84" s="63"/>
      <c r="IY84" s="63"/>
      <c r="IZ84" s="63"/>
      <c r="JA84" s="65">
        <f t="shared" si="107"/>
        <v>0</v>
      </c>
      <c r="JB84" s="63"/>
      <c r="JC84" s="101"/>
      <c r="JD84" s="101"/>
      <c r="JE84" s="63"/>
      <c r="JF84" s="63"/>
      <c r="JG84" s="63"/>
      <c r="JH84" s="63"/>
      <c r="JI84" s="63"/>
      <c r="JJ84" s="63"/>
      <c r="JK84" s="63"/>
      <c r="JL84" s="63"/>
      <c r="JM84" s="63"/>
      <c r="JN84" s="63"/>
      <c r="JO84" s="63"/>
      <c r="JP84" s="65">
        <f t="shared" si="133"/>
        <v>0</v>
      </c>
      <c r="JQ84" s="63"/>
      <c r="LM84" s="205"/>
      <c r="LN84" s="102">
        <f>IFERROR(ROWS($IL$8:IL84)," ")</f>
        <v>77</v>
      </c>
      <c r="LO84" s="103" t="str">
        <f>IFERROR(IF([1]Checklist!$C$3='GenInfo (2)'!E84,'GenInfo (2)'!LN84," ")," ")</f>
        <v xml:space="preserve"> </v>
      </c>
      <c r="LP84" s="104" t="str">
        <f>IFERROR(SMALL($LO$8:$LO$94,ROWS($IL$8:IL84))," ")</f>
        <v xml:space="preserve"> </v>
      </c>
      <c r="LQ84" s="102">
        <f>IFERROR(ROWS($IL$8:IL84)," ")</f>
        <v>77</v>
      </c>
      <c r="LR84" s="103" t="str">
        <f>IFERROR(IF([1]Checklist!$C$4='GenInfo (2)'!E84,'GenInfo (2)'!LQ84," ")," ")</f>
        <v xml:space="preserve"> </v>
      </c>
      <c r="LS84" s="104" t="str">
        <f>IFERROR(SMALL($LR$8:$LR$94,ROWS($IL$8:IL84))," ")</f>
        <v xml:space="preserve"> </v>
      </c>
      <c r="LT84" s="102">
        <f>IFERROR(ROWS($IL$8:IL84)," ")</f>
        <v>77</v>
      </c>
      <c r="LU84" s="103" t="str">
        <f>IFERROR(IF([1]Checklist!$C$5='GenInfo (2)'!E84,'GenInfo (2)'!LT84," ")," ")</f>
        <v xml:space="preserve"> </v>
      </c>
      <c r="LV84" s="104" t="str">
        <f>IFERROR(SMALL($LU$8:$LU$94,ROWS($IL$8:IL84))," ")</f>
        <v xml:space="preserve"> </v>
      </c>
      <c r="LW84" s="102">
        <f>IFERROR(ROWS($IL$8:IL84)," ")</f>
        <v>77</v>
      </c>
      <c r="LX84" s="103" t="str">
        <f>IFERROR(IF([1]Checklist!$C$6='GenInfo (2)'!E84,'GenInfo (2)'!LW84," ")," ")</f>
        <v xml:space="preserve"> </v>
      </c>
      <c r="LY84" s="104" t="str">
        <f>IFERROR(SMALL($LX$8:$LX$94,ROWS($IL$8:IL84))," ")</f>
        <v xml:space="preserve"> </v>
      </c>
      <c r="LZ84" s="102">
        <f>IFERROR(ROWS($IL$8:IL84)," ")</f>
        <v>77</v>
      </c>
      <c r="MA84" s="103" t="str">
        <f>IFERROR(IF([1]Checklist!$C$7='GenInfo (2)'!E84,'GenInfo (2)'!LZ84," ")," ")</f>
        <v xml:space="preserve"> </v>
      </c>
      <c r="MB84" s="104" t="str">
        <f>IFERROR(SMALL($MA$8:$MA$94,ROWS($IL$8:IL84))," ")</f>
        <v xml:space="preserve"> </v>
      </c>
      <c r="MC84" s="102">
        <f>IFERROR(ROWS($IL$8:IL84)," ")</f>
        <v>77</v>
      </c>
      <c r="MD84" s="103" t="str">
        <f>IFERROR(IF([1]Checklist!$C$8='GenInfo (2)'!E84,'GenInfo (2)'!MC84," ")," ")</f>
        <v xml:space="preserve"> </v>
      </c>
      <c r="ME84" s="104" t="str">
        <f>IFERROR(SMALL($MD$8:$MD$94,ROWS($IL$8:IL84))," ")</f>
        <v xml:space="preserve"> </v>
      </c>
      <c r="MF84" s="102">
        <f>IFERROR(ROWS($IL$8:IL84)," ")</f>
        <v>77</v>
      </c>
      <c r="MG84" s="103" t="str">
        <f>IFERROR(IF([1]Checklist!$C$9='GenInfo (2)'!E84,'GenInfo (2)'!MF84," ")," ")</f>
        <v xml:space="preserve"> </v>
      </c>
      <c r="MH84" s="104" t="str">
        <f>IFERROR(SMALL($MG$8:$MG$94,ROWS($IL$8:IL84))," ")</f>
        <v xml:space="preserve"> </v>
      </c>
      <c r="MI84" s="102">
        <f>IFERROR(ROWS($IL$8:$IL84)," ")</f>
        <v>77</v>
      </c>
      <c r="MJ84" s="103" t="str">
        <f>IFERROR(IF([1]Checklist!$C$10='GenInfo (2)'!E84,'GenInfo (2)'!MI84," ")," ")</f>
        <v xml:space="preserve"> </v>
      </c>
      <c r="MK84" s="104" t="str">
        <f>IFERROR(SMALL($MJ$8:$MJ$94,ROWS($IL$8:IL84))," ")</f>
        <v xml:space="preserve"> </v>
      </c>
      <c r="ML84" s="102">
        <f>IFERROR(ROWS($IL$8:IL84)," ")</f>
        <v>77</v>
      </c>
      <c r="MM84" s="103" t="str">
        <f>IFERROR(IF([1]Checklist!$C$11='GenInfo (2)'!E84,'GenInfo (2)'!ML84," ")," ")</f>
        <v xml:space="preserve"> </v>
      </c>
      <c r="MN84" s="104" t="str">
        <f>IFERROR(SMALL($MM$8:$MM$94,ROWS($IL$8:IL84))," ")</f>
        <v xml:space="preserve"> </v>
      </c>
      <c r="MO84" s="102">
        <f>IFERROR(ROWS($IL$8:IL84)," ")</f>
        <v>77</v>
      </c>
      <c r="MP84" s="103" t="str">
        <f>IFERROR(IF([1]Checklist!$C$12='GenInfo (2)'!E84,'GenInfo (2)'!MO84," ")," ")</f>
        <v xml:space="preserve"> </v>
      </c>
      <c r="MQ84" s="104" t="str">
        <f>IFERROR(SMALL($MP$8:$MP$94,ROWS($IL$8:IL84))," ")</f>
        <v xml:space="preserve"> </v>
      </c>
      <c r="MR84" s="102">
        <f>IFERROR(ROWS($IL$8:IL84)," ")</f>
        <v>77</v>
      </c>
      <c r="MS84" s="103" t="str">
        <f>IFERROR(IF([1]Checklist!$C$13='GenInfo (2)'!E84,'GenInfo (2)'!MR84," ")," ")</f>
        <v xml:space="preserve"> </v>
      </c>
      <c r="MT84" s="104" t="str">
        <f>IFERROR(SMALL($MS$8:$MS$94,ROWS($IL$8:IL84))," ")</f>
        <v xml:space="preserve"> </v>
      </c>
      <c r="MU84" s="102">
        <f>IFERROR(ROWS($IL$8:IL84)," ")</f>
        <v>77</v>
      </c>
      <c r="MV84" s="103" t="str">
        <f>IFERROR(IF([1]Checklist!$C$14='GenInfo (2)'!E84,'GenInfo (2)'!MU84," ")," ")</f>
        <v xml:space="preserve"> </v>
      </c>
      <c r="MW84" s="104" t="str">
        <f>IFERROR(SMALL($MV$8:$MV$94,ROWS($IL$8:IL84))," ")</f>
        <v xml:space="preserve"> </v>
      </c>
      <c r="MX84" s="102">
        <f>IFERROR(ROWS($IL$8:IL84)," ")</f>
        <v>77</v>
      </c>
      <c r="MY84" s="103" t="str">
        <f>IFERROR(IF([1]Checklist!$C$15='GenInfo (2)'!E84,'GenInfo (2)'!MX84," ")," ")</f>
        <v xml:space="preserve"> </v>
      </c>
      <c r="MZ84" s="104" t="str">
        <f>IFERROR(SMALL($MY$8:$MY$94,ROWS($IL$8:IL84))," ")</f>
        <v xml:space="preserve"> </v>
      </c>
      <c r="NA84" s="102">
        <f>IFERROR(ROWS($IL$8:IL84)," ")</f>
        <v>77</v>
      </c>
      <c r="NB84" s="103" t="str">
        <f>IFERROR(IF([1]Checklist!$C$16='GenInfo (2)'!E84,'GenInfo (2)'!NA84," ")," ")</f>
        <v xml:space="preserve"> </v>
      </c>
      <c r="NC84" s="104" t="str">
        <f>IFERROR(SMALL($NB$8:$NB$94,ROWS($IL$8:IL84))," ")</f>
        <v xml:space="preserve"> </v>
      </c>
      <c r="ND84" s="102">
        <f>IFERROR(ROWS($IL$8:IL84)," ")</f>
        <v>77</v>
      </c>
      <c r="NE84" s="103" t="str">
        <f>IFERROR(IF([1]Checklist!$C$17='GenInfo (2)'!E84,'GenInfo (2)'!ND84," ")," ")</f>
        <v xml:space="preserve"> </v>
      </c>
      <c r="NF84" s="104" t="str">
        <f>IFERROR(SMALL($NE$8:$NE$94,ROWS($IL$8:IL84))," ")</f>
        <v xml:space="preserve"> </v>
      </c>
    </row>
    <row r="85" spans="5:370" ht="14.25" x14ac:dyDescent="0.45">
      <c r="E85" s="64"/>
      <c r="F85" s="63"/>
      <c r="G85" s="64"/>
      <c r="H85" s="63"/>
      <c r="I85" s="63"/>
      <c r="J85" s="63"/>
      <c r="K85" s="62"/>
      <c r="L85" s="67"/>
      <c r="M85" s="67"/>
      <c r="N85" s="67"/>
      <c r="O85" s="68"/>
      <c r="P85" s="67"/>
      <c r="Q85" s="67"/>
      <c r="R85" s="63"/>
      <c r="S85" s="67"/>
      <c r="T85" s="63"/>
      <c r="U85" s="62"/>
      <c r="V85" s="63"/>
      <c r="W85" s="63"/>
      <c r="X85" s="69"/>
      <c r="Y85" s="63"/>
      <c r="Z85" s="69"/>
      <c r="AA85" s="62"/>
      <c r="AB85" s="63"/>
      <c r="AC85" s="63"/>
      <c r="AD85" s="63"/>
      <c r="AE85" s="63"/>
      <c r="AF85" s="63"/>
      <c r="AG85" s="63"/>
      <c r="AH85" s="63"/>
      <c r="AI85" s="63"/>
      <c r="AJ85" s="63"/>
      <c r="AK85" s="62"/>
      <c r="AL85" s="71">
        <f t="shared" si="95"/>
        <v>0</v>
      </c>
      <c r="AM85" s="71">
        <f t="shared" ca="1" si="137"/>
        <v>122</v>
      </c>
      <c r="AN85" s="63"/>
      <c r="AO85" s="72" t="str">
        <f t="shared" ca="1" si="97"/>
        <v/>
      </c>
      <c r="AP85" s="63"/>
      <c r="AQ85" s="73"/>
      <c r="AR85" s="70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2"/>
      <c r="BE85" s="71">
        <f t="shared" si="144"/>
        <v>0</v>
      </c>
      <c r="BF85" s="71">
        <f t="shared" si="144"/>
        <v>0</v>
      </c>
      <c r="BG85" s="71">
        <f t="shared" si="99"/>
        <v>0</v>
      </c>
      <c r="BH85" s="74" t="str">
        <f t="shared" si="100"/>
        <v xml:space="preserve"> </v>
      </c>
      <c r="BI85" s="75" t="str">
        <f t="shared" si="101"/>
        <v xml:space="preserve"> </v>
      </c>
      <c r="BJ85" s="71">
        <f t="shared" si="102"/>
        <v>0</v>
      </c>
      <c r="BK85" s="75" t="str">
        <f t="shared" si="103"/>
        <v xml:space="preserve"> </v>
      </c>
      <c r="BL85" s="76">
        <f t="shared" si="145"/>
        <v>0</v>
      </c>
      <c r="BM85" s="77">
        <f t="shared" si="145"/>
        <v>0</v>
      </c>
      <c r="BN85" s="78"/>
      <c r="BO85" s="67"/>
      <c r="BP85" s="67"/>
      <c r="BQ85" s="63"/>
      <c r="BR85" s="63"/>
      <c r="BS85" s="74" t="str">
        <f t="shared" si="108"/>
        <v xml:space="preserve"> </v>
      </c>
      <c r="BT85" s="79" t="s">
        <v>221</v>
      </c>
      <c r="BU85" s="79" t="s">
        <v>221</v>
      </c>
      <c r="BV85" s="80">
        <v>0</v>
      </c>
      <c r="BW85" s="81">
        <v>0</v>
      </c>
      <c r="BX85" s="82"/>
      <c r="BY85" s="83"/>
      <c r="BZ85" s="83"/>
      <c r="CA85" s="84"/>
      <c r="CB85" s="84"/>
      <c r="CC85" s="74" t="str">
        <f t="shared" si="109"/>
        <v xml:space="preserve"> </v>
      </c>
      <c r="CD85" s="79" t="s">
        <v>221</v>
      </c>
      <c r="CE85" s="81">
        <v>0</v>
      </c>
      <c r="CF85" s="85"/>
      <c r="CG85" s="85"/>
      <c r="CH85" s="85"/>
      <c r="CI85" s="78"/>
      <c r="CJ85" s="78"/>
      <c r="CK85" s="74" t="str">
        <f t="shared" si="110"/>
        <v xml:space="preserve"> </v>
      </c>
      <c r="CL85" s="79" t="s">
        <v>221</v>
      </c>
      <c r="CM85" s="79" t="s">
        <v>221</v>
      </c>
      <c r="CN85" s="86" t="s">
        <v>221</v>
      </c>
      <c r="CO85" s="81">
        <v>0</v>
      </c>
      <c r="CP85" s="87"/>
      <c r="CQ85" s="83"/>
      <c r="CR85" s="83"/>
      <c r="CS85" s="82"/>
      <c r="CT85" s="82"/>
      <c r="CU85" s="74" t="str">
        <f t="shared" si="111"/>
        <v xml:space="preserve"> </v>
      </c>
      <c r="CV85" s="79" t="s">
        <v>221</v>
      </c>
      <c r="CW85" s="79" t="s">
        <v>221</v>
      </c>
      <c r="CX85" s="88" t="s">
        <v>221</v>
      </c>
      <c r="CY85" s="81">
        <v>0</v>
      </c>
      <c r="CZ85" s="89"/>
      <c r="DA85" s="67"/>
      <c r="DB85" s="67"/>
      <c r="DC85" s="78"/>
      <c r="DD85" s="78"/>
      <c r="DE85" s="74" t="str">
        <f t="shared" si="112"/>
        <v xml:space="preserve"> </v>
      </c>
      <c r="DF85" s="79" t="s">
        <v>221</v>
      </c>
      <c r="DG85" s="79" t="s">
        <v>221</v>
      </c>
      <c r="DH85" s="79" t="s">
        <v>221</v>
      </c>
      <c r="DI85" s="81">
        <v>0</v>
      </c>
      <c r="DJ85" s="87"/>
      <c r="DK85" s="83"/>
      <c r="DL85" s="83"/>
      <c r="DM85" s="82"/>
      <c r="DN85" s="82"/>
      <c r="DO85" s="74" t="str">
        <f t="shared" si="113"/>
        <v xml:space="preserve"> </v>
      </c>
      <c r="DP85" s="79" t="s">
        <v>221</v>
      </c>
      <c r="DQ85" s="79" t="s">
        <v>221</v>
      </c>
      <c r="DR85" s="79" t="s">
        <v>221</v>
      </c>
      <c r="DS85" s="81">
        <v>0</v>
      </c>
      <c r="DT85" s="89"/>
      <c r="DU85" s="67"/>
      <c r="DV85" s="67"/>
      <c r="DW85" s="78"/>
      <c r="DX85" s="78"/>
      <c r="DY85" s="74" t="str">
        <f t="shared" si="114"/>
        <v xml:space="preserve"> </v>
      </c>
      <c r="DZ85" s="94"/>
      <c r="EA85" s="94"/>
      <c r="EB85" s="94"/>
      <c r="EC85" s="94"/>
      <c r="ED85" s="87"/>
      <c r="EE85" s="83"/>
      <c r="EF85" s="83"/>
      <c r="EG85" s="82"/>
      <c r="EH85" s="82"/>
      <c r="EI85" s="74" t="str">
        <f t="shared" si="105"/>
        <v xml:space="preserve"> </v>
      </c>
      <c r="EJ85" s="92"/>
      <c r="EK85" s="92"/>
      <c r="EL85" s="92"/>
      <c r="EM85" s="92"/>
      <c r="EN85" s="89"/>
      <c r="EO85" s="67"/>
      <c r="EP85" s="67"/>
      <c r="EQ85" s="78"/>
      <c r="ER85" s="78"/>
      <c r="ES85" s="74" t="str">
        <f t="shared" si="106"/>
        <v xml:space="preserve"> </v>
      </c>
      <c r="ET85" s="94"/>
      <c r="EU85" s="94"/>
      <c r="EV85" s="94">
        <v>0</v>
      </c>
      <c r="EW85" s="76">
        <v>0</v>
      </c>
      <c r="EX85" s="87"/>
      <c r="EY85" s="83"/>
      <c r="EZ85" s="83"/>
      <c r="FA85" s="82"/>
      <c r="FB85" s="82"/>
      <c r="FC85" s="74" t="str">
        <f t="shared" si="115"/>
        <v xml:space="preserve"> </v>
      </c>
      <c r="FD85" s="92"/>
      <c r="FE85" s="92"/>
      <c r="FF85" s="92"/>
      <c r="FG85" s="92"/>
      <c r="FH85" s="76">
        <f t="shared" si="116"/>
        <v>0</v>
      </c>
      <c r="FI85" s="89"/>
      <c r="FJ85" s="67"/>
      <c r="FK85" s="67"/>
      <c r="FL85" s="78"/>
      <c r="FM85" s="78"/>
      <c r="FN85" s="74" t="str">
        <f t="shared" si="117"/>
        <v xml:space="preserve"> </v>
      </c>
      <c r="FO85" s="94"/>
      <c r="FP85" s="94"/>
      <c r="FQ85" s="94"/>
      <c r="FR85" s="94"/>
      <c r="FS85" s="76">
        <f t="shared" si="118"/>
        <v>0</v>
      </c>
      <c r="FT85" s="87"/>
      <c r="FU85" s="83"/>
      <c r="FV85" s="83"/>
      <c r="FW85" s="82"/>
      <c r="FX85" s="82"/>
      <c r="FY85" s="74" t="str">
        <f t="shared" si="119"/>
        <v xml:space="preserve"> </v>
      </c>
      <c r="FZ85" s="92"/>
      <c r="GA85" s="92"/>
      <c r="GB85" s="92"/>
      <c r="GC85" s="92"/>
      <c r="GD85" s="76">
        <f t="shared" si="120"/>
        <v>0</v>
      </c>
      <c r="GE85" s="62"/>
      <c r="GF85" s="96" t="s">
        <v>221</v>
      </c>
      <c r="GG85" s="96" t="s">
        <v>221</v>
      </c>
      <c r="GH85" s="63"/>
      <c r="GI85" s="63"/>
      <c r="GJ85" s="63"/>
      <c r="GK85" s="97">
        <f t="shared" si="84"/>
        <v>0</v>
      </c>
      <c r="GL85" s="98"/>
      <c r="GM85" s="98"/>
      <c r="GN85" s="97">
        <f t="shared" si="121"/>
        <v>0</v>
      </c>
      <c r="GO85" s="97" t="str">
        <f t="shared" si="122"/>
        <v xml:space="preserve"> </v>
      </c>
      <c r="GP85" s="62"/>
      <c r="GQ85" s="63"/>
      <c r="GR85" s="63"/>
      <c r="GS85" s="63"/>
      <c r="GT85" s="63"/>
      <c r="GU85" s="63"/>
      <c r="GV85" s="63"/>
      <c r="GW85" s="63"/>
      <c r="GX85" s="63"/>
      <c r="GY85" s="65" t="str">
        <f t="shared" si="138"/>
        <v/>
      </c>
      <c r="GZ85" s="65" t="str">
        <f t="shared" si="139"/>
        <v/>
      </c>
      <c r="HA85" s="63"/>
      <c r="HB85" s="63"/>
      <c r="HC85" s="63"/>
      <c r="HD85" s="63"/>
      <c r="HE85" s="63"/>
      <c r="HF85" s="63"/>
      <c r="HG85" s="63"/>
      <c r="HH85" s="63"/>
      <c r="HI85" s="63"/>
      <c r="HJ85" s="63"/>
      <c r="HK85" s="63"/>
      <c r="HL85" s="65" t="str">
        <f t="shared" si="140"/>
        <v/>
      </c>
      <c r="HM85" s="65" t="str">
        <f t="shared" si="124"/>
        <v/>
      </c>
      <c r="HN85" s="65" t="str">
        <f t="shared" si="141"/>
        <v/>
      </c>
      <c r="HO85" s="65" t="str">
        <f t="shared" si="142"/>
        <v/>
      </c>
      <c r="HP85" s="99" t="str">
        <f t="shared" si="130"/>
        <v/>
      </c>
      <c r="HQ85" s="99" t="str">
        <f t="shared" si="143"/>
        <v/>
      </c>
      <c r="HR85" s="63"/>
      <c r="HS85" s="63"/>
      <c r="HT85" s="63"/>
      <c r="HU85" s="63"/>
      <c r="HV85" s="63"/>
      <c r="HW85" s="63"/>
      <c r="HX85" s="63"/>
      <c r="HY85" s="63"/>
      <c r="HZ85" s="63"/>
      <c r="IA85" s="63"/>
      <c r="IB85" s="63"/>
      <c r="IC85" s="63"/>
      <c r="ID85" s="63"/>
      <c r="IE85" s="63"/>
      <c r="IF85" s="63"/>
      <c r="IG85" s="63"/>
      <c r="IH85" s="63"/>
      <c r="II85" s="63"/>
      <c r="IJ85" s="63"/>
      <c r="IK85" s="63"/>
      <c r="IL85" s="63"/>
      <c r="IM85" s="62"/>
      <c r="IN85" s="101"/>
      <c r="IO85" s="101"/>
      <c r="IP85" s="63"/>
      <c r="IQ85" s="63"/>
      <c r="IR85" s="63"/>
      <c r="IS85" s="63"/>
      <c r="IT85" s="63"/>
      <c r="IU85" s="63"/>
      <c r="IV85" s="63"/>
      <c r="IW85" s="63"/>
      <c r="IX85" s="63"/>
      <c r="IY85" s="63"/>
      <c r="IZ85" s="63"/>
      <c r="JA85" s="65">
        <f t="shared" si="107"/>
        <v>0</v>
      </c>
      <c r="JB85" s="63"/>
      <c r="JC85" s="101"/>
      <c r="JD85" s="101"/>
      <c r="JE85" s="63"/>
      <c r="JF85" s="63"/>
      <c r="JG85" s="63"/>
      <c r="JH85" s="63"/>
      <c r="JI85" s="63"/>
      <c r="JJ85" s="63"/>
      <c r="JK85" s="63"/>
      <c r="JL85" s="63"/>
      <c r="JM85" s="63"/>
      <c r="JN85" s="63"/>
      <c r="JO85" s="63"/>
      <c r="JP85" s="65">
        <f t="shared" si="133"/>
        <v>0</v>
      </c>
      <c r="JQ85" s="63"/>
      <c r="LM85" s="205"/>
      <c r="LN85" s="102">
        <f>IFERROR(ROWS($IL$8:IL85)," ")</f>
        <v>78</v>
      </c>
      <c r="LO85" s="103" t="str">
        <f>IFERROR(IF([1]Checklist!$C$3='GenInfo (2)'!E85,'GenInfo (2)'!LN85," ")," ")</f>
        <v xml:space="preserve"> </v>
      </c>
      <c r="LP85" s="104" t="str">
        <f>IFERROR(SMALL($LO$8:$LO$94,ROWS($IL$8:IL85))," ")</f>
        <v xml:space="preserve"> </v>
      </c>
      <c r="LQ85" s="102">
        <f>IFERROR(ROWS($IL$8:IL85)," ")</f>
        <v>78</v>
      </c>
      <c r="LR85" s="103" t="str">
        <f>IFERROR(IF([1]Checklist!$C$4='GenInfo (2)'!E85,'GenInfo (2)'!LQ85," ")," ")</f>
        <v xml:space="preserve"> </v>
      </c>
      <c r="LS85" s="104" t="str">
        <f>IFERROR(SMALL($LR$8:$LR$94,ROWS($IL$8:IL85))," ")</f>
        <v xml:space="preserve"> </v>
      </c>
      <c r="LT85" s="102">
        <f>IFERROR(ROWS($IL$8:IL85)," ")</f>
        <v>78</v>
      </c>
      <c r="LU85" s="103" t="str">
        <f>IFERROR(IF([1]Checklist!$C$5='GenInfo (2)'!E85,'GenInfo (2)'!LT85," ")," ")</f>
        <v xml:space="preserve"> </v>
      </c>
      <c r="LV85" s="104" t="str">
        <f>IFERROR(SMALL($LU$8:$LU$94,ROWS($IL$8:IL85))," ")</f>
        <v xml:space="preserve"> </v>
      </c>
      <c r="LW85" s="102">
        <f>IFERROR(ROWS($IL$8:IL85)," ")</f>
        <v>78</v>
      </c>
      <c r="LX85" s="103" t="str">
        <f>IFERROR(IF([1]Checklist!$C$6='GenInfo (2)'!E85,'GenInfo (2)'!LW85," ")," ")</f>
        <v xml:space="preserve"> </v>
      </c>
      <c r="LY85" s="104" t="str">
        <f>IFERROR(SMALL($LX$8:$LX$94,ROWS($IL$8:IL85))," ")</f>
        <v xml:space="preserve"> </v>
      </c>
      <c r="LZ85" s="102">
        <f>IFERROR(ROWS($IL$8:IL85)," ")</f>
        <v>78</v>
      </c>
      <c r="MA85" s="103" t="str">
        <f>IFERROR(IF([1]Checklist!$C$7='GenInfo (2)'!E85,'GenInfo (2)'!LZ85," ")," ")</f>
        <v xml:space="preserve"> </v>
      </c>
      <c r="MB85" s="104" t="str">
        <f>IFERROR(SMALL($MA$8:$MA$94,ROWS($IL$8:IL85))," ")</f>
        <v xml:space="preserve"> </v>
      </c>
      <c r="MC85" s="102">
        <f>IFERROR(ROWS($IL$8:IL85)," ")</f>
        <v>78</v>
      </c>
      <c r="MD85" s="103" t="str">
        <f>IFERROR(IF([1]Checklist!$C$8='GenInfo (2)'!E85,'GenInfo (2)'!MC85," ")," ")</f>
        <v xml:space="preserve"> </v>
      </c>
      <c r="ME85" s="104" t="str">
        <f>IFERROR(SMALL($MD$8:$MD$94,ROWS($IL$8:IL85))," ")</f>
        <v xml:space="preserve"> </v>
      </c>
      <c r="MF85" s="102">
        <f>IFERROR(ROWS($IL$8:IL85)," ")</f>
        <v>78</v>
      </c>
      <c r="MG85" s="103" t="str">
        <f>IFERROR(IF([1]Checklist!$C$9='GenInfo (2)'!E85,'GenInfo (2)'!MF85," ")," ")</f>
        <v xml:space="preserve"> </v>
      </c>
      <c r="MH85" s="104" t="str">
        <f>IFERROR(SMALL($MG$8:$MG$94,ROWS($IL$8:IL85))," ")</f>
        <v xml:space="preserve"> </v>
      </c>
      <c r="MI85" s="102">
        <f>IFERROR(ROWS($IL$8:$IL85)," ")</f>
        <v>78</v>
      </c>
      <c r="MJ85" s="103" t="str">
        <f>IFERROR(IF([1]Checklist!$C$10='GenInfo (2)'!E85,'GenInfo (2)'!MI85," ")," ")</f>
        <v xml:space="preserve"> </v>
      </c>
      <c r="MK85" s="104" t="str">
        <f>IFERROR(SMALL($MJ$8:$MJ$94,ROWS($IL$8:IL85))," ")</f>
        <v xml:space="preserve"> </v>
      </c>
      <c r="ML85" s="102">
        <f>IFERROR(ROWS($IL$8:IL85)," ")</f>
        <v>78</v>
      </c>
      <c r="MM85" s="103" t="str">
        <f>IFERROR(IF([1]Checklist!$C$11='GenInfo (2)'!E85,'GenInfo (2)'!ML85," ")," ")</f>
        <v xml:space="preserve"> </v>
      </c>
      <c r="MN85" s="104" t="str">
        <f>IFERROR(SMALL($MM$8:$MM$94,ROWS($IL$8:IL85))," ")</f>
        <v xml:space="preserve"> </v>
      </c>
      <c r="MO85" s="102">
        <f>IFERROR(ROWS($IL$8:IL85)," ")</f>
        <v>78</v>
      </c>
      <c r="MP85" s="103" t="str">
        <f>IFERROR(IF([1]Checklist!$C$12='GenInfo (2)'!E85,'GenInfo (2)'!MO85," ")," ")</f>
        <v xml:space="preserve"> </v>
      </c>
      <c r="MQ85" s="104" t="str">
        <f>IFERROR(SMALL($MP$8:$MP$94,ROWS($IL$8:IL85))," ")</f>
        <v xml:space="preserve"> </v>
      </c>
      <c r="MR85" s="102">
        <f>IFERROR(ROWS($IL$8:IL85)," ")</f>
        <v>78</v>
      </c>
      <c r="MS85" s="103" t="str">
        <f>IFERROR(IF([1]Checklist!$C$13='GenInfo (2)'!E85,'GenInfo (2)'!MR85," ")," ")</f>
        <v xml:space="preserve"> </v>
      </c>
      <c r="MT85" s="104" t="str">
        <f>IFERROR(SMALL($MS$8:$MS$94,ROWS($IL$8:IL85))," ")</f>
        <v xml:space="preserve"> </v>
      </c>
      <c r="MU85" s="102">
        <f>IFERROR(ROWS($IL$8:IL85)," ")</f>
        <v>78</v>
      </c>
      <c r="MV85" s="103" t="str">
        <f>IFERROR(IF([1]Checklist!$C$14='GenInfo (2)'!E85,'GenInfo (2)'!MU85," ")," ")</f>
        <v xml:space="preserve"> </v>
      </c>
      <c r="MW85" s="104" t="str">
        <f>IFERROR(SMALL($MV$8:$MV$94,ROWS($IL$8:IL85))," ")</f>
        <v xml:space="preserve"> </v>
      </c>
      <c r="MX85" s="102">
        <f>IFERROR(ROWS($IL$8:IL85)," ")</f>
        <v>78</v>
      </c>
      <c r="MY85" s="103" t="str">
        <f>IFERROR(IF([1]Checklist!$C$15='GenInfo (2)'!E85,'GenInfo (2)'!MX85," ")," ")</f>
        <v xml:space="preserve"> </v>
      </c>
      <c r="MZ85" s="104" t="str">
        <f>IFERROR(SMALL($MY$8:$MY$94,ROWS($IL$8:IL85))," ")</f>
        <v xml:space="preserve"> </v>
      </c>
      <c r="NA85" s="102">
        <f>IFERROR(ROWS($IL$8:IL85)," ")</f>
        <v>78</v>
      </c>
      <c r="NB85" s="103" t="str">
        <f>IFERROR(IF([1]Checklist!$C$16='GenInfo (2)'!E85,'GenInfo (2)'!NA85," ")," ")</f>
        <v xml:space="preserve"> </v>
      </c>
      <c r="NC85" s="104" t="str">
        <f>IFERROR(SMALL($NB$8:$NB$94,ROWS($IL$8:IL85))," ")</f>
        <v xml:space="preserve"> </v>
      </c>
      <c r="ND85" s="102">
        <f>IFERROR(ROWS($IL$8:IL85)," ")</f>
        <v>78</v>
      </c>
      <c r="NE85" s="103" t="str">
        <f>IFERROR(IF([1]Checklist!$C$17='GenInfo (2)'!E85,'GenInfo (2)'!ND85," ")," ")</f>
        <v xml:space="preserve"> </v>
      </c>
      <c r="NF85" s="104" t="str">
        <f>IFERROR(SMALL($NE$8:$NE$94,ROWS($IL$8:IL85))," ")</f>
        <v xml:space="preserve"> </v>
      </c>
    </row>
    <row r="86" spans="5:370" ht="14.25" x14ac:dyDescent="0.45">
      <c r="E86" s="64"/>
      <c r="F86" s="63"/>
      <c r="G86" s="64"/>
      <c r="H86" s="63"/>
      <c r="I86" s="63"/>
      <c r="J86" s="63"/>
      <c r="K86" s="62"/>
      <c r="L86" s="67"/>
      <c r="M86" s="67"/>
      <c r="N86" s="67"/>
      <c r="O86" s="68"/>
      <c r="P86" s="67"/>
      <c r="Q86" s="67"/>
      <c r="R86" s="63"/>
      <c r="S86" s="67"/>
      <c r="T86" s="63"/>
      <c r="U86" s="62"/>
      <c r="V86" s="63"/>
      <c r="W86" s="63"/>
      <c r="X86" s="69"/>
      <c r="Y86" s="63"/>
      <c r="Z86" s="69"/>
      <c r="AA86" s="62"/>
      <c r="AB86" s="63"/>
      <c r="AC86" s="63"/>
      <c r="AD86" s="63"/>
      <c r="AE86" s="63"/>
      <c r="AF86" s="63"/>
      <c r="AG86" s="63"/>
      <c r="AH86" s="63"/>
      <c r="AI86" s="63"/>
      <c r="AJ86" s="63"/>
      <c r="AK86" s="62"/>
      <c r="AL86" s="71">
        <f t="shared" si="95"/>
        <v>0</v>
      </c>
      <c r="AM86" s="71">
        <f t="shared" ca="1" si="137"/>
        <v>122</v>
      </c>
      <c r="AN86" s="63"/>
      <c r="AO86" s="72" t="str">
        <f t="shared" ca="1" si="97"/>
        <v/>
      </c>
      <c r="AP86" s="63"/>
      <c r="AQ86" s="73"/>
      <c r="AR86" s="70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2"/>
      <c r="BE86" s="71">
        <f t="shared" si="144"/>
        <v>0</v>
      </c>
      <c r="BF86" s="71">
        <f t="shared" si="144"/>
        <v>0</v>
      </c>
      <c r="BG86" s="71">
        <f t="shared" si="99"/>
        <v>0</v>
      </c>
      <c r="BH86" s="74" t="str">
        <f t="shared" si="100"/>
        <v xml:space="preserve"> </v>
      </c>
      <c r="BI86" s="75" t="str">
        <f t="shared" si="101"/>
        <v xml:space="preserve"> </v>
      </c>
      <c r="BJ86" s="71">
        <f t="shared" si="102"/>
        <v>0</v>
      </c>
      <c r="BK86" s="75" t="str">
        <f t="shared" si="103"/>
        <v xml:space="preserve"> </v>
      </c>
      <c r="BL86" s="76">
        <f t="shared" si="145"/>
        <v>0</v>
      </c>
      <c r="BM86" s="77">
        <f t="shared" si="145"/>
        <v>0</v>
      </c>
      <c r="BN86" s="78"/>
      <c r="BO86" s="67"/>
      <c r="BP86" s="67"/>
      <c r="BQ86" s="63"/>
      <c r="BR86" s="63"/>
      <c r="BS86" s="74" t="str">
        <f t="shared" si="108"/>
        <v xml:space="preserve"> </v>
      </c>
      <c r="BT86" s="79" t="s">
        <v>221</v>
      </c>
      <c r="BU86" s="79" t="s">
        <v>221</v>
      </c>
      <c r="BV86" s="80">
        <v>0</v>
      </c>
      <c r="BW86" s="81">
        <v>0</v>
      </c>
      <c r="BX86" s="82"/>
      <c r="BY86" s="83"/>
      <c r="BZ86" s="83"/>
      <c r="CA86" s="84"/>
      <c r="CB86" s="84"/>
      <c r="CC86" s="74" t="str">
        <f t="shared" si="109"/>
        <v xml:space="preserve"> </v>
      </c>
      <c r="CD86" s="79" t="s">
        <v>221</v>
      </c>
      <c r="CE86" s="81">
        <v>0</v>
      </c>
      <c r="CF86" s="85"/>
      <c r="CG86" s="85"/>
      <c r="CH86" s="85"/>
      <c r="CI86" s="78"/>
      <c r="CJ86" s="78"/>
      <c r="CK86" s="74" t="str">
        <f t="shared" si="110"/>
        <v xml:space="preserve"> </v>
      </c>
      <c r="CL86" s="79" t="s">
        <v>221</v>
      </c>
      <c r="CM86" s="79" t="s">
        <v>221</v>
      </c>
      <c r="CN86" s="86" t="s">
        <v>221</v>
      </c>
      <c r="CO86" s="81">
        <v>0</v>
      </c>
      <c r="CP86" s="87"/>
      <c r="CQ86" s="83"/>
      <c r="CR86" s="83"/>
      <c r="CS86" s="82"/>
      <c r="CT86" s="82"/>
      <c r="CU86" s="74" t="str">
        <f t="shared" si="111"/>
        <v xml:space="preserve"> </v>
      </c>
      <c r="CV86" s="79" t="s">
        <v>221</v>
      </c>
      <c r="CW86" s="79" t="s">
        <v>221</v>
      </c>
      <c r="CX86" s="88" t="s">
        <v>221</v>
      </c>
      <c r="CY86" s="81">
        <v>0</v>
      </c>
      <c r="CZ86" s="89"/>
      <c r="DA86" s="67"/>
      <c r="DB86" s="67"/>
      <c r="DC86" s="78"/>
      <c r="DD86" s="78"/>
      <c r="DE86" s="74" t="str">
        <f t="shared" si="112"/>
        <v xml:space="preserve"> </v>
      </c>
      <c r="DF86" s="79" t="s">
        <v>221</v>
      </c>
      <c r="DG86" s="79" t="s">
        <v>221</v>
      </c>
      <c r="DH86" s="79" t="s">
        <v>221</v>
      </c>
      <c r="DI86" s="81">
        <v>0</v>
      </c>
      <c r="DJ86" s="87"/>
      <c r="DK86" s="83"/>
      <c r="DL86" s="83"/>
      <c r="DM86" s="82"/>
      <c r="DN86" s="82"/>
      <c r="DO86" s="74" t="str">
        <f t="shared" si="113"/>
        <v xml:space="preserve"> </v>
      </c>
      <c r="DP86" s="79" t="s">
        <v>221</v>
      </c>
      <c r="DQ86" s="79" t="s">
        <v>221</v>
      </c>
      <c r="DR86" s="79" t="s">
        <v>221</v>
      </c>
      <c r="DS86" s="81">
        <v>0</v>
      </c>
      <c r="DT86" s="89"/>
      <c r="DU86" s="67"/>
      <c r="DV86" s="67"/>
      <c r="DW86" s="78"/>
      <c r="DX86" s="78"/>
      <c r="DY86" s="74" t="str">
        <f t="shared" si="114"/>
        <v xml:space="preserve"> </v>
      </c>
      <c r="DZ86" s="94"/>
      <c r="EA86" s="94"/>
      <c r="EB86" s="94"/>
      <c r="EC86" s="94"/>
      <c r="ED86" s="87"/>
      <c r="EE86" s="83"/>
      <c r="EF86" s="83"/>
      <c r="EG86" s="82"/>
      <c r="EH86" s="82"/>
      <c r="EI86" s="74" t="str">
        <f t="shared" si="105"/>
        <v xml:space="preserve"> </v>
      </c>
      <c r="EJ86" s="92"/>
      <c r="EK86" s="92"/>
      <c r="EL86" s="92"/>
      <c r="EM86" s="92"/>
      <c r="EN86" s="89"/>
      <c r="EO86" s="67"/>
      <c r="EP86" s="67"/>
      <c r="EQ86" s="78"/>
      <c r="ER86" s="78"/>
      <c r="ES86" s="74" t="str">
        <f t="shared" si="106"/>
        <v xml:space="preserve"> </v>
      </c>
      <c r="ET86" s="94"/>
      <c r="EU86" s="94"/>
      <c r="EV86" s="94">
        <v>0</v>
      </c>
      <c r="EW86" s="76">
        <v>0</v>
      </c>
      <c r="EX86" s="87"/>
      <c r="EY86" s="83"/>
      <c r="EZ86" s="83"/>
      <c r="FA86" s="82"/>
      <c r="FB86" s="82"/>
      <c r="FC86" s="74" t="str">
        <f t="shared" si="115"/>
        <v xml:space="preserve"> </v>
      </c>
      <c r="FD86" s="92"/>
      <c r="FE86" s="92"/>
      <c r="FF86" s="92"/>
      <c r="FG86" s="92"/>
      <c r="FH86" s="76">
        <f t="shared" si="116"/>
        <v>0</v>
      </c>
      <c r="FI86" s="89"/>
      <c r="FJ86" s="67"/>
      <c r="FK86" s="67"/>
      <c r="FL86" s="78"/>
      <c r="FM86" s="78"/>
      <c r="FN86" s="74" t="str">
        <f t="shared" si="117"/>
        <v xml:space="preserve"> </v>
      </c>
      <c r="FO86" s="94"/>
      <c r="FP86" s="94"/>
      <c r="FQ86" s="94"/>
      <c r="FR86" s="94"/>
      <c r="FS86" s="76">
        <f t="shared" si="118"/>
        <v>0</v>
      </c>
      <c r="FT86" s="87"/>
      <c r="FU86" s="83"/>
      <c r="FV86" s="83"/>
      <c r="FW86" s="82"/>
      <c r="FX86" s="82"/>
      <c r="FY86" s="74" t="str">
        <f t="shared" si="119"/>
        <v xml:space="preserve"> </v>
      </c>
      <c r="FZ86" s="92"/>
      <c r="GA86" s="92"/>
      <c r="GB86" s="92"/>
      <c r="GC86" s="92"/>
      <c r="GD86" s="76">
        <f t="shared" si="120"/>
        <v>0</v>
      </c>
      <c r="GE86" s="62"/>
      <c r="GF86" s="96" t="s">
        <v>221</v>
      </c>
      <c r="GG86" s="96" t="s">
        <v>221</v>
      </c>
      <c r="GH86" s="63"/>
      <c r="GI86" s="63"/>
      <c r="GJ86" s="63"/>
      <c r="GK86" s="97">
        <f t="shared" si="84"/>
        <v>0</v>
      </c>
      <c r="GL86" s="98"/>
      <c r="GM86" s="98"/>
      <c r="GN86" s="97">
        <f t="shared" si="121"/>
        <v>0</v>
      </c>
      <c r="GO86" s="97" t="str">
        <f t="shared" si="122"/>
        <v xml:space="preserve"> </v>
      </c>
      <c r="GP86" s="62"/>
      <c r="GQ86" s="63"/>
      <c r="GR86" s="63"/>
      <c r="GS86" s="63"/>
      <c r="GT86" s="63"/>
      <c r="GU86" s="63"/>
      <c r="GV86" s="63"/>
      <c r="GW86" s="63"/>
      <c r="GX86" s="63"/>
      <c r="GY86" s="65" t="str">
        <f t="shared" si="138"/>
        <v/>
      </c>
      <c r="GZ86" s="65" t="str">
        <f t="shared" si="139"/>
        <v/>
      </c>
      <c r="HA86" s="63"/>
      <c r="HB86" s="63"/>
      <c r="HC86" s="63"/>
      <c r="HD86" s="63"/>
      <c r="HE86" s="63"/>
      <c r="HF86" s="63"/>
      <c r="HG86" s="63"/>
      <c r="HH86" s="63"/>
      <c r="HI86" s="63"/>
      <c r="HJ86" s="63"/>
      <c r="HK86" s="63"/>
      <c r="HL86" s="65" t="str">
        <f t="shared" si="140"/>
        <v/>
      </c>
      <c r="HM86" s="65" t="str">
        <f t="shared" si="124"/>
        <v/>
      </c>
      <c r="HN86" s="65" t="str">
        <f t="shared" si="141"/>
        <v/>
      </c>
      <c r="HO86" s="65" t="str">
        <f t="shared" si="142"/>
        <v/>
      </c>
      <c r="HP86" s="99" t="str">
        <f t="shared" si="130"/>
        <v/>
      </c>
      <c r="HQ86" s="99" t="str">
        <f t="shared" si="143"/>
        <v/>
      </c>
      <c r="HR86" s="63"/>
      <c r="HS86" s="63"/>
      <c r="HT86" s="63"/>
      <c r="HU86" s="63"/>
      <c r="HV86" s="63"/>
      <c r="HW86" s="63"/>
      <c r="HX86" s="63"/>
      <c r="HY86" s="63"/>
      <c r="HZ86" s="63"/>
      <c r="IA86" s="63"/>
      <c r="IB86" s="63"/>
      <c r="IC86" s="63"/>
      <c r="ID86" s="63"/>
      <c r="IE86" s="63"/>
      <c r="IF86" s="63"/>
      <c r="IG86" s="63"/>
      <c r="IH86" s="63"/>
      <c r="II86" s="63"/>
      <c r="IJ86" s="63"/>
      <c r="IK86" s="63"/>
      <c r="IL86" s="63"/>
      <c r="IM86" s="62"/>
      <c r="IN86" s="101"/>
      <c r="IO86" s="101"/>
      <c r="IP86" s="63"/>
      <c r="IQ86" s="63"/>
      <c r="IR86" s="63"/>
      <c r="IS86" s="63"/>
      <c r="IT86" s="63"/>
      <c r="IU86" s="63"/>
      <c r="IV86" s="63"/>
      <c r="IW86" s="63"/>
      <c r="IX86" s="63"/>
      <c r="IY86" s="63"/>
      <c r="IZ86" s="63"/>
      <c r="JA86" s="65">
        <f t="shared" si="107"/>
        <v>0</v>
      </c>
      <c r="JB86" s="63"/>
      <c r="JC86" s="101"/>
      <c r="JD86" s="101"/>
      <c r="JE86" s="63"/>
      <c r="JF86" s="63"/>
      <c r="JG86" s="63"/>
      <c r="JH86" s="63"/>
      <c r="JI86" s="63"/>
      <c r="JJ86" s="63"/>
      <c r="JK86" s="63"/>
      <c r="JL86" s="63"/>
      <c r="JM86" s="63"/>
      <c r="JN86" s="63"/>
      <c r="JO86" s="63"/>
      <c r="JP86" s="65">
        <f t="shared" si="133"/>
        <v>0</v>
      </c>
      <c r="JQ86" s="63"/>
      <c r="LM86" s="205"/>
      <c r="LN86" s="102">
        <f>IFERROR(ROWS($IL$8:IL86)," ")</f>
        <v>79</v>
      </c>
      <c r="LO86" s="103" t="str">
        <f>IFERROR(IF([1]Checklist!$C$3='GenInfo (2)'!E86,'GenInfo (2)'!LN86," ")," ")</f>
        <v xml:space="preserve"> </v>
      </c>
      <c r="LP86" s="104" t="str">
        <f>IFERROR(SMALL($LO$8:$LO$94,ROWS($IL$8:IL86))," ")</f>
        <v xml:space="preserve"> </v>
      </c>
      <c r="LQ86" s="102">
        <f>IFERROR(ROWS($IL$8:IL86)," ")</f>
        <v>79</v>
      </c>
      <c r="LR86" s="103" t="str">
        <f>IFERROR(IF([1]Checklist!$C$4='GenInfo (2)'!E86,'GenInfo (2)'!LQ86," ")," ")</f>
        <v xml:space="preserve"> </v>
      </c>
      <c r="LS86" s="104" t="str">
        <f>IFERROR(SMALL($LR$8:$LR$94,ROWS($IL$8:IL86))," ")</f>
        <v xml:space="preserve"> </v>
      </c>
      <c r="LT86" s="102">
        <f>IFERROR(ROWS($IL$8:IL86)," ")</f>
        <v>79</v>
      </c>
      <c r="LU86" s="103" t="str">
        <f>IFERROR(IF([1]Checklist!$C$5='GenInfo (2)'!E86,'GenInfo (2)'!LT86," ")," ")</f>
        <v xml:space="preserve"> </v>
      </c>
      <c r="LV86" s="104" t="str">
        <f>IFERROR(SMALL($LU$8:$LU$94,ROWS($IL$8:IL86))," ")</f>
        <v xml:space="preserve"> </v>
      </c>
      <c r="LW86" s="102">
        <f>IFERROR(ROWS($IL$8:IL86)," ")</f>
        <v>79</v>
      </c>
      <c r="LX86" s="103" t="str">
        <f>IFERROR(IF([1]Checklist!$C$6='GenInfo (2)'!E86,'GenInfo (2)'!LW86," ")," ")</f>
        <v xml:space="preserve"> </v>
      </c>
      <c r="LY86" s="104" t="str">
        <f>IFERROR(SMALL($LX$8:$LX$94,ROWS($IL$8:IL86))," ")</f>
        <v xml:space="preserve"> </v>
      </c>
      <c r="LZ86" s="102">
        <f>IFERROR(ROWS($IL$8:IL86)," ")</f>
        <v>79</v>
      </c>
      <c r="MA86" s="103" t="str">
        <f>IFERROR(IF([1]Checklist!$C$7='GenInfo (2)'!E86,'GenInfo (2)'!LZ86," ")," ")</f>
        <v xml:space="preserve"> </v>
      </c>
      <c r="MB86" s="104" t="str">
        <f>IFERROR(SMALL($MA$8:$MA$94,ROWS($IL$8:IL86))," ")</f>
        <v xml:space="preserve"> </v>
      </c>
      <c r="MC86" s="102">
        <f>IFERROR(ROWS($IL$8:IL86)," ")</f>
        <v>79</v>
      </c>
      <c r="MD86" s="103" t="str">
        <f>IFERROR(IF([1]Checklist!$C$8='GenInfo (2)'!E86,'GenInfo (2)'!MC86," ")," ")</f>
        <v xml:space="preserve"> </v>
      </c>
      <c r="ME86" s="104" t="str">
        <f>IFERROR(SMALL($MD$8:$MD$94,ROWS($IL$8:IL86))," ")</f>
        <v xml:space="preserve"> </v>
      </c>
      <c r="MF86" s="102">
        <f>IFERROR(ROWS($IL$8:IL86)," ")</f>
        <v>79</v>
      </c>
      <c r="MG86" s="103" t="str">
        <f>IFERROR(IF([1]Checklist!$C$9='GenInfo (2)'!E86,'GenInfo (2)'!MF86," ")," ")</f>
        <v xml:space="preserve"> </v>
      </c>
      <c r="MH86" s="104" t="str">
        <f>IFERROR(SMALL($MG$8:$MG$94,ROWS($IL$8:IL86))," ")</f>
        <v xml:space="preserve"> </v>
      </c>
      <c r="MI86" s="102">
        <f>IFERROR(ROWS($IL$8:$IL86)," ")</f>
        <v>79</v>
      </c>
      <c r="MJ86" s="103" t="str">
        <f>IFERROR(IF([1]Checklist!$C$10='GenInfo (2)'!E86,'GenInfo (2)'!MI86," ")," ")</f>
        <v xml:space="preserve"> </v>
      </c>
      <c r="MK86" s="104" t="str">
        <f>IFERROR(SMALL($MJ$8:$MJ$94,ROWS($IL$8:IL86))," ")</f>
        <v xml:space="preserve"> </v>
      </c>
      <c r="ML86" s="102">
        <f>IFERROR(ROWS($IL$8:IL86)," ")</f>
        <v>79</v>
      </c>
      <c r="MM86" s="103" t="str">
        <f>IFERROR(IF([1]Checklist!$C$11='GenInfo (2)'!E86,'GenInfo (2)'!ML86," ")," ")</f>
        <v xml:space="preserve"> </v>
      </c>
      <c r="MN86" s="104" t="str">
        <f>IFERROR(SMALL($MM$8:$MM$94,ROWS($IL$8:IL86))," ")</f>
        <v xml:space="preserve"> </v>
      </c>
      <c r="MO86" s="102">
        <f>IFERROR(ROWS($IL$8:IL86)," ")</f>
        <v>79</v>
      </c>
      <c r="MP86" s="103" t="str">
        <f>IFERROR(IF([1]Checklist!$C$12='GenInfo (2)'!E86,'GenInfo (2)'!MO86," ")," ")</f>
        <v xml:space="preserve"> </v>
      </c>
      <c r="MQ86" s="104" t="str">
        <f>IFERROR(SMALL($MP$8:$MP$94,ROWS($IL$8:IL86))," ")</f>
        <v xml:space="preserve"> </v>
      </c>
      <c r="MR86" s="102">
        <f>IFERROR(ROWS($IL$8:IL86)," ")</f>
        <v>79</v>
      </c>
      <c r="MS86" s="103" t="str">
        <f>IFERROR(IF([1]Checklist!$C$13='GenInfo (2)'!E86,'GenInfo (2)'!MR86," ")," ")</f>
        <v xml:space="preserve"> </v>
      </c>
      <c r="MT86" s="104" t="str">
        <f>IFERROR(SMALL($MS$8:$MS$94,ROWS($IL$8:IL86))," ")</f>
        <v xml:space="preserve"> </v>
      </c>
      <c r="MU86" s="102">
        <f>IFERROR(ROWS($IL$8:IL86)," ")</f>
        <v>79</v>
      </c>
      <c r="MV86" s="103" t="str">
        <f>IFERROR(IF([1]Checklist!$C$14='GenInfo (2)'!E86,'GenInfo (2)'!MU86," ")," ")</f>
        <v xml:space="preserve"> </v>
      </c>
      <c r="MW86" s="104" t="str">
        <f>IFERROR(SMALL($MV$8:$MV$94,ROWS($IL$8:IL86))," ")</f>
        <v xml:space="preserve"> </v>
      </c>
      <c r="MX86" s="102">
        <f>IFERROR(ROWS($IL$8:IL86)," ")</f>
        <v>79</v>
      </c>
      <c r="MY86" s="103" t="str">
        <f>IFERROR(IF([1]Checklist!$C$15='GenInfo (2)'!E86,'GenInfo (2)'!MX86," ")," ")</f>
        <v xml:space="preserve"> </v>
      </c>
      <c r="MZ86" s="104" t="str">
        <f>IFERROR(SMALL($MY$8:$MY$94,ROWS($IL$8:IL86))," ")</f>
        <v xml:space="preserve"> </v>
      </c>
      <c r="NA86" s="102">
        <f>IFERROR(ROWS($IL$8:IL86)," ")</f>
        <v>79</v>
      </c>
      <c r="NB86" s="103" t="str">
        <f>IFERROR(IF([1]Checklist!$C$16='GenInfo (2)'!E86,'GenInfo (2)'!NA86," ")," ")</f>
        <v xml:space="preserve"> </v>
      </c>
      <c r="NC86" s="104" t="str">
        <f>IFERROR(SMALL($NB$8:$NB$94,ROWS($IL$8:IL86))," ")</f>
        <v xml:space="preserve"> </v>
      </c>
      <c r="ND86" s="102">
        <f>IFERROR(ROWS($IL$8:IL86)," ")</f>
        <v>79</v>
      </c>
      <c r="NE86" s="103" t="str">
        <f>IFERROR(IF([1]Checklist!$C$17='GenInfo (2)'!E86,'GenInfo (2)'!ND86," ")," ")</f>
        <v xml:space="preserve"> </v>
      </c>
      <c r="NF86" s="104" t="str">
        <f>IFERROR(SMALL($NE$8:$NE$94,ROWS($IL$8:IL86))," ")</f>
        <v xml:space="preserve"> </v>
      </c>
    </row>
    <row r="87" spans="5:370" ht="14.25" x14ac:dyDescent="0.45">
      <c r="E87" s="64"/>
      <c r="F87" s="63"/>
      <c r="G87" s="64"/>
      <c r="H87" s="63"/>
      <c r="I87" s="63"/>
      <c r="J87" s="63"/>
      <c r="K87" s="62"/>
      <c r="L87" s="67"/>
      <c r="M87" s="67"/>
      <c r="N87" s="67"/>
      <c r="O87" s="68"/>
      <c r="P87" s="67"/>
      <c r="Q87" s="67"/>
      <c r="R87" s="63"/>
      <c r="S87" s="67"/>
      <c r="T87" s="63"/>
      <c r="U87" s="62"/>
      <c r="V87" s="63"/>
      <c r="W87" s="63"/>
      <c r="X87" s="69"/>
      <c r="Y87" s="63"/>
      <c r="Z87" s="69"/>
      <c r="AA87" s="62"/>
      <c r="AB87" s="63"/>
      <c r="AC87" s="63"/>
      <c r="AD87" s="63"/>
      <c r="AE87" s="63"/>
      <c r="AF87" s="63"/>
      <c r="AG87" s="63"/>
      <c r="AH87" s="63"/>
      <c r="AI87" s="63"/>
      <c r="AJ87" s="63"/>
      <c r="AK87" s="62"/>
      <c r="AL87" s="71">
        <f t="shared" si="95"/>
        <v>0</v>
      </c>
      <c r="AM87" s="71">
        <f t="shared" ca="1" si="137"/>
        <v>122</v>
      </c>
      <c r="AN87" s="63"/>
      <c r="AO87" s="72" t="str">
        <f t="shared" ca="1" si="97"/>
        <v/>
      </c>
      <c r="AP87" s="63"/>
      <c r="AQ87" s="73"/>
      <c r="AR87" s="70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2"/>
      <c r="BE87" s="71">
        <f t="shared" si="144"/>
        <v>0</v>
      </c>
      <c r="BF87" s="71">
        <f t="shared" si="144"/>
        <v>0</v>
      </c>
      <c r="BG87" s="71">
        <f t="shared" si="99"/>
        <v>0</v>
      </c>
      <c r="BH87" s="74" t="str">
        <f t="shared" si="100"/>
        <v xml:space="preserve"> </v>
      </c>
      <c r="BI87" s="75" t="str">
        <f t="shared" si="101"/>
        <v xml:space="preserve"> </v>
      </c>
      <c r="BJ87" s="71">
        <f t="shared" si="102"/>
        <v>0</v>
      </c>
      <c r="BK87" s="75" t="str">
        <f t="shared" si="103"/>
        <v xml:space="preserve"> </v>
      </c>
      <c r="BL87" s="76">
        <f t="shared" si="145"/>
        <v>0</v>
      </c>
      <c r="BM87" s="77">
        <f t="shared" si="145"/>
        <v>0</v>
      </c>
      <c r="BN87" s="78"/>
      <c r="BO87" s="67"/>
      <c r="BP87" s="67"/>
      <c r="BQ87" s="63"/>
      <c r="BR87" s="63"/>
      <c r="BS87" s="74" t="str">
        <f t="shared" si="108"/>
        <v xml:space="preserve"> </v>
      </c>
      <c r="BT87" s="79" t="s">
        <v>221</v>
      </c>
      <c r="BU87" s="79" t="s">
        <v>221</v>
      </c>
      <c r="BV87" s="80">
        <v>0</v>
      </c>
      <c r="BW87" s="81">
        <v>0</v>
      </c>
      <c r="BX87" s="82"/>
      <c r="BY87" s="83"/>
      <c r="BZ87" s="83"/>
      <c r="CA87" s="84"/>
      <c r="CB87" s="84"/>
      <c r="CC87" s="74" t="str">
        <f t="shared" si="109"/>
        <v xml:space="preserve"> </v>
      </c>
      <c r="CD87" s="79" t="s">
        <v>221</v>
      </c>
      <c r="CE87" s="81">
        <v>0</v>
      </c>
      <c r="CF87" s="85"/>
      <c r="CG87" s="85"/>
      <c r="CH87" s="85"/>
      <c r="CI87" s="78"/>
      <c r="CJ87" s="78"/>
      <c r="CK87" s="74" t="str">
        <f t="shared" si="110"/>
        <v xml:space="preserve"> </v>
      </c>
      <c r="CL87" s="79" t="s">
        <v>221</v>
      </c>
      <c r="CM87" s="79" t="s">
        <v>221</v>
      </c>
      <c r="CN87" s="86" t="s">
        <v>221</v>
      </c>
      <c r="CO87" s="81">
        <v>0</v>
      </c>
      <c r="CP87" s="87"/>
      <c r="CQ87" s="83"/>
      <c r="CR87" s="83"/>
      <c r="CS87" s="82"/>
      <c r="CT87" s="82"/>
      <c r="CU87" s="74" t="str">
        <f t="shared" si="111"/>
        <v xml:space="preserve"> </v>
      </c>
      <c r="CV87" s="79" t="s">
        <v>221</v>
      </c>
      <c r="CW87" s="79" t="s">
        <v>221</v>
      </c>
      <c r="CX87" s="88" t="s">
        <v>221</v>
      </c>
      <c r="CY87" s="81">
        <v>0</v>
      </c>
      <c r="CZ87" s="89"/>
      <c r="DA87" s="67"/>
      <c r="DB87" s="67"/>
      <c r="DC87" s="78"/>
      <c r="DD87" s="78"/>
      <c r="DE87" s="74" t="str">
        <f t="shared" si="112"/>
        <v xml:space="preserve"> </v>
      </c>
      <c r="DF87" s="79" t="s">
        <v>221</v>
      </c>
      <c r="DG87" s="79" t="s">
        <v>221</v>
      </c>
      <c r="DH87" s="79" t="s">
        <v>221</v>
      </c>
      <c r="DI87" s="81">
        <v>0</v>
      </c>
      <c r="DJ87" s="87"/>
      <c r="DK87" s="83"/>
      <c r="DL87" s="83"/>
      <c r="DM87" s="82"/>
      <c r="DN87" s="82"/>
      <c r="DO87" s="74" t="str">
        <f t="shared" si="113"/>
        <v xml:space="preserve"> </v>
      </c>
      <c r="DP87" s="79" t="s">
        <v>221</v>
      </c>
      <c r="DQ87" s="79" t="s">
        <v>221</v>
      </c>
      <c r="DR87" s="79" t="s">
        <v>221</v>
      </c>
      <c r="DS87" s="81">
        <v>0</v>
      </c>
      <c r="DT87" s="89"/>
      <c r="DU87" s="67"/>
      <c r="DV87" s="67"/>
      <c r="DW87" s="78"/>
      <c r="DX87" s="78"/>
      <c r="DY87" s="74" t="str">
        <f t="shared" si="114"/>
        <v xml:space="preserve"> </v>
      </c>
      <c r="DZ87" s="94"/>
      <c r="EA87" s="94"/>
      <c r="EB87" s="94"/>
      <c r="EC87" s="94"/>
      <c r="ED87" s="87"/>
      <c r="EE87" s="83"/>
      <c r="EF87" s="83"/>
      <c r="EG87" s="82"/>
      <c r="EH87" s="82"/>
      <c r="EI87" s="74" t="str">
        <f t="shared" si="105"/>
        <v xml:space="preserve"> </v>
      </c>
      <c r="EJ87" s="92"/>
      <c r="EK87" s="92"/>
      <c r="EL87" s="92"/>
      <c r="EM87" s="92"/>
      <c r="EN87" s="89"/>
      <c r="EO87" s="67"/>
      <c r="EP87" s="67"/>
      <c r="EQ87" s="78"/>
      <c r="ER87" s="78"/>
      <c r="ES87" s="74" t="str">
        <f t="shared" si="106"/>
        <v xml:space="preserve"> </v>
      </c>
      <c r="ET87" s="94"/>
      <c r="EU87" s="94"/>
      <c r="EV87" s="94">
        <v>0</v>
      </c>
      <c r="EW87" s="76">
        <v>0</v>
      </c>
      <c r="EX87" s="87"/>
      <c r="EY87" s="83"/>
      <c r="EZ87" s="83"/>
      <c r="FA87" s="82"/>
      <c r="FB87" s="82"/>
      <c r="FC87" s="74" t="str">
        <f t="shared" si="115"/>
        <v xml:space="preserve"> </v>
      </c>
      <c r="FD87" s="92"/>
      <c r="FE87" s="92"/>
      <c r="FF87" s="92"/>
      <c r="FG87" s="92"/>
      <c r="FH87" s="76">
        <f t="shared" si="116"/>
        <v>0</v>
      </c>
      <c r="FI87" s="89"/>
      <c r="FJ87" s="67"/>
      <c r="FK87" s="67"/>
      <c r="FL87" s="78"/>
      <c r="FM87" s="78"/>
      <c r="FN87" s="74" t="str">
        <f t="shared" si="117"/>
        <v xml:space="preserve"> </v>
      </c>
      <c r="FO87" s="94"/>
      <c r="FP87" s="94"/>
      <c r="FQ87" s="94"/>
      <c r="FR87" s="94"/>
      <c r="FS87" s="76">
        <f t="shared" si="118"/>
        <v>0</v>
      </c>
      <c r="FT87" s="87"/>
      <c r="FU87" s="83"/>
      <c r="FV87" s="83"/>
      <c r="FW87" s="82"/>
      <c r="FX87" s="82"/>
      <c r="FY87" s="74" t="str">
        <f t="shared" si="119"/>
        <v xml:space="preserve"> </v>
      </c>
      <c r="FZ87" s="92"/>
      <c r="GA87" s="92"/>
      <c r="GB87" s="92"/>
      <c r="GC87" s="92"/>
      <c r="GD87" s="76">
        <f t="shared" si="120"/>
        <v>0</v>
      </c>
      <c r="GE87" s="62"/>
      <c r="GF87" s="96" t="s">
        <v>221</v>
      </c>
      <c r="GG87" s="96" t="s">
        <v>221</v>
      </c>
      <c r="GH87" s="63"/>
      <c r="GI87" s="63"/>
      <c r="GJ87" s="63"/>
      <c r="GK87" s="97">
        <f t="shared" si="84"/>
        <v>0</v>
      </c>
      <c r="GL87" s="98"/>
      <c r="GM87" s="98"/>
      <c r="GN87" s="97">
        <f t="shared" si="121"/>
        <v>0</v>
      </c>
      <c r="GO87" s="97" t="str">
        <f t="shared" si="122"/>
        <v xml:space="preserve"> </v>
      </c>
      <c r="GP87" s="62"/>
      <c r="GQ87" s="63"/>
      <c r="GR87" s="63"/>
      <c r="GS87" s="63"/>
      <c r="GT87" s="63"/>
      <c r="GU87" s="63"/>
      <c r="GV87" s="63"/>
      <c r="GW87" s="63"/>
      <c r="GX87" s="63"/>
      <c r="GY87" s="65" t="str">
        <f t="shared" si="138"/>
        <v/>
      </c>
      <c r="GZ87" s="65" t="str">
        <f t="shared" si="139"/>
        <v/>
      </c>
      <c r="HA87" s="63"/>
      <c r="HB87" s="63"/>
      <c r="HC87" s="63"/>
      <c r="HD87" s="63"/>
      <c r="HE87" s="63"/>
      <c r="HF87" s="63"/>
      <c r="HG87" s="63"/>
      <c r="HH87" s="63"/>
      <c r="HI87" s="63"/>
      <c r="HJ87" s="63"/>
      <c r="HK87" s="63"/>
      <c r="HL87" s="65" t="str">
        <f t="shared" si="140"/>
        <v/>
      </c>
      <c r="HM87" s="65" t="str">
        <f t="shared" si="124"/>
        <v/>
      </c>
      <c r="HN87" s="65" t="str">
        <f t="shared" si="141"/>
        <v/>
      </c>
      <c r="HO87" s="65" t="str">
        <f t="shared" si="142"/>
        <v/>
      </c>
      <c r="HP87" s="99" t="str">
        <f t="shared" si="130"/>
        <v/>
      </c>
      <c r="HQ87" s="99" t="str">
        <f t="shared" si="143"/>
        <v/>
      </c>
      <c r="HR87" s="63"/>
      <c r="HS87" s="63"/>
      <c r="HT87" s="63"/>
      <c r="HU87" s="63"/>
      <c r="HV87" s="63"/>
      <c r="HW87" s="63"/>
      <c r="HX87" s="63"/>
      <c r="HY87" s="63"/>
      <c r="HZ87" s="63"/>
      <c r="IA87" s="63"/>
      <c r="IB87" s="63"/>
      <c r="IC87" s="63"/>
      <c r="ID87" s="63"/>
      <c r="IE87" s="63"/>
      <c r="IF87" s="63"/>
      <c r="IG87" s="63"/>
      <c r="IH87" s="63"/>
      <c r="II87" s="63"/>
      <c r="IJ87" s="63"/>
      <c r="IK87" s="63"/>
      <c r="IL87" s="63"/>
      <c r="IM87" s="62"/>
      <c r="IN87" s="101"/>
      <c r="IO87" s="101"/>
      <c r="IP87" s="63"/>
      <c r="IQ87" s="63"/>
      <c r="IR87" s="63"/>
      <c r="IS87" s="63"/>
      <c r="IT87" s="63"/>
      <c r="IU87" s="63"/>
      <c r="IV87" s="63"/>
      <c r="IW87" s="63"/>
      <c r="IX87" s="63"/>
      <c r="IY87" s="63"/>
      <c r="IZ87" s="63"/>
      <c r="JA87" s="65">
        <f t="shared" si="107"/>
        <v>0</v>
      </c>
      <c r="JB87" s="63"/>
      <c r="JC87" s="101"/>
      <c r="JD87" s="101"/>
      <c r="JE87" s="63"/>
      <c r="JF87" s="63"/>
      <c r="JG87" s="63"/>
      <c r="JH87" s="63"/>
      <c r="JI87" s="63"/>
      <c r="JJ87" s="63"/>
      <c r="JK87" s="63"/>
      <c r="JL87" s="63"/>
      <c r="JM87" s="63"/>
      <c r="JN87" s="63"/>
      <c r="JO87" s="63"/>
      <c r="JP87" s="65">
        <f t="shared" si="133"/>
        <v>0</v>
      </c>
      <c r="JQ87" s="63"/>
      <c r="LM87" s="205"/>
      <c r="LN87" s="102">
        <f>IFERROR(ROWS($IL$8:IL87)," ")</f>
        <v>80</v>
      </c>
      <c r="LO87" s="103" t="str">
        <f>IFERROR(IF([1]Checklist!$C$3='GenInfo (2)'!E87,'GenInfo (2)'!LN87," ")," ")</f>
        <v xml:space="preserve"> </v>
      </c>
      <c r="LP87" s="104" t="str">
        <f>IFERROR(SMALL($LO$8:$LO$94,ROWS($IL$8:IL87))," ")</f>
        <v xml:space="preserve"> </v>
      </c>
      <c r="LQ87" s="102">
        <f>IFERROR(ROWS($IL$8:IL87)," ")</f>
        <v>80</v>
      </c>
      <c r="LR87" s="103" t="str">
        <f>IFERROR(IF([1]Checklist!$C$4='GenInfo (2)'!E87,'GenInfo (2)'!LQ87," ")," ")</f>
        <v xml:space="preserve"> </v>
      </c>
      <c r="LS87" s="104" t="str">
        <f>IFERROR(SMALL($LR$8:$LR$94,ROWS($IL$8:IL87))," ")</f>
        <v xml:space="preserve"> </v>
      </c>
      <c r="LT87" s="102">
        <f>IFERROR(ROWS($IL$8:IL87)," ")</f>
        <v>80</v>
      </c>
      <c r="LU87" s="103" t="str">
        <f>IFERROR(IF([1]Checklist!$C$5='GenInfo (2)'!E87,'GenInfo (2)'!LT87," ")," ")</f>
        <v xml:space="preserve"> </v>
      </c>
      <c r="LV87" s="104" t="str">
        <f>IFERROR(SMALL($LU$8:$LU$94,ROWS($IL$8:IL87))," ")</f>
        <v xml:space="preserve"> </v>
      </c>
      <c r="LW87" s="102">
        <f>IFERROR(ROWS($IL$8:IL87)," ")</f>
        <v>80</v>
      </c>
      <c r="LX87" s="103" t="str">
        <f>IFERROR(IF([1]Checklist!$C$6='GenInfo (2)'!E87,'GenInfo (2)'!LW87," ")," ")</f>
        <v xml:space="preserve"> </v>
      </c>
      <c r="LY87" s="104" t="str">
        <f>IFERROR(SMALL($LX$8:$LX$94,ROWS($IL$8:IL87))," ")</f>
        <v xml:space="preserve"> </v>
      </c>
      <c r="LZ87" s="102">
        <f>IFERROR(ROWS($IL$8:IL87)," ")</f>
        <v>80</v>
      </c>
      <c r="MA87" s="103" t="str">
        <f>IFERROR(IF([1]Checklist!$C$7='GenInfo (2)'!E87,'GenInfo (2)'!LZ87," ")," ")</f>
        <v xml:space="preserve"> </v>
      </c>
      <c r="MB87" s="104" t="str">
        <f>IFERROR(SMALL($MA$8:$MA$94,ROWS($IL$8:IL87))," ")</f>
        <v xml:space="preserve"> </v>
      </c>
      <c r="MC87" s="102">
        <f>IFERROR(ROWS($IL$8:IL87)," ")</f>
        <v>80</v>
      </c>
      <c r="MD87" s="103" t="str">
        <f>IFERROR(IF([1]Checklist!$C$8='GenInfo (2)'!E87,'GenInfo (2)'!MC87," ")," ")</f>
        <v xml:space="preserve"> </v>
      </c>
      <c r="ME87" s="104" t="str">
        <f>IFERROR(SMALL($MD$8:$MD$94,ROWS($IL$8:IL87))," ")</f>
        <v xml:space="preserve"> </v>
      </c>
      <c r="MF87" s="102">
        <f>IFERROR(ROWS($IL$8:IL87)," ")</f>
        <v>80</v>
      </c>
      <c r="MG87" s="103" t="str">
        <f>IFERROR(IF([1]Checklist!$C$9='GenInfo (2)'!E87,'GenInfo (2)'!MF87," ")," ")</f>
        <v xml:space="preserve"> </v>
      </c>
      <c r="MH87" s="104" t="str">
        <f>IFERROR(SMALL($MG$8:$MG$94,ROWS($IL$8:IL87))," ")</f>
        <v xml:space="preserve"> </v>
      </c>
      <c r="MI87" s="102">
        <f>IFERROR(ROWS($IL$8:$IL87)," ")</f>
        <v>80</v>
      </c>
      <c r="MJ87" s="103" t="str">
        <f>IFERROR(IF([1]Checklist!$C$10='GenInfo (2)'!E87,'GenInfo (2)'!MI87," ")," ")</f>
        <v xml:space="preserve"> </v>
      </c>
      <c r="MK87" s="104" t="str">
        <f>IFERROR(SMALL($MJ$8:$MJ$94,ROWS($IL$8:IL87))," ")</f>
        <v xml:space="preserve"> </v>
      </c>
      <c r="ML87" s="102">
        <f>IFERROR(ROWS($IL$8:IL87)," ")</f>
        <v>80</v>
      </c>
      <c r="MM87" s="103" t="str">
        <f>IFERROR(IF([1]Checklist!$C$11='GenInfo (2)'!E87,'GenInfo (2)'!ML87," ")," ")</f>
        <v xml:space="preserve"> </v>
      </c>
      <c r="MN87" s="104" t="str">
        <f>IFERROR(SMALL($MM$8:$MM$94,ROWS($IL$8:IL87))," ")</f>
        <v xml:space="preserve"> </v>
      </c>
      <c r="MO87" s="102">
        <f>IFERROR(ROWS($IL$8:IL87)," ")</f>
        <v>80</v>
      </c>
      <c r="MP87" s="103" t="str">
        <f>IFERROR(IF([1]Checklist!$C$12='GenInfo (2)'!E87,'GenInfo (2)'!MO87," ")," ")</f>
        <v xml:space="preserve"> </v>
      </c>
      <c r="MQ87" s="104" t="str">
        <f>IFERROR(SMALL($MP$8:$MP$94,ROWS($IL$8:IL87))," ")</f>
        <v xml:space="preserve"> </v>
      </c>
      <c r="MR87" s="102">
        <f>IFERROR(ROWS($IL$8:IL87)," ")</f>
        <v>80</v>
      </c>
      <c r="MS87" s="103" t="str">
        <f>IFERROR(IF([1]Checklist!$C$13='GenInfo (2)'!E87,'GenInfo (2)'!MR87," ")," ")</f>
        <v xml:space="preserve"> </v>
      </c>
      <c r="MT87" s="104" t="str">
        <f>IFERROR(SMALL($MS$8:$MS$94,ROWS($IL$8:IL87))," ")</f>
        <v xml:space="preserve"> </v>
      </c>
      <c r="MU87" s="102">
        <f>IFERROR(ROWS($IL$8:IL87)," ")</f>
        <v>80</v>
      </c>
      <c r="MV87" s="103" t="str">
        <f>IFERROR(IF([1]Checklist!$C$14='GenInfo (2)'!E87,'GenInfo (2)'!MU87," ")," ")</f>
        <v xml:space="preserve"> </v>
      </c>
      <c r="MW87" s="104" t="str">
        <f>IFERROR(SMALL($MV$8:$MV$94,ROWS($IL$8:IL87))," ")</f>
        <v xml:space="preserve"> </v>
      </c>
      <c r="MX87" s="102">
        <f>IFERROR(ROWS($IL$8:IL87)," ")</f>
        <v>80</v>
      </c>
      <c r="MY87" s="103" t="str">
        <f>IFERROR(IF([1]Checklist!$C$15='GenInfo (2)'!E87,'GenInfo (2)'!MX87," ")," ")</f>
        <v xml:space="preserve"> </v>
      </c>
      <c r="MZ87" s="104" t="str">
        <f>IFERROR(SMALL($MY$8:$MY$94,ROWS($IL$8:IL87))," ")</f>
        <v xml:space="preserve"> </v>
      </c>
      <c r="NA87" s="102">
        <f>IFERROR(ROWS($IL$8:IL87)," ")</f>
        <v>80</v>
      </c>
      <c r="NB87" s="103" t="str">
        <f>IFERROR(IF([1]Checklist!$C$16='GenInfo (2)'!E87,'GenInfo (2)'!NA87," ")," ")</f>
        <v xml:space="preserve"> </v>
      </c>
      <c r="NC87" s="104" t="str">
        <f>IFERROR(SMALL($NB$8:$NB$94,ROWS($IL$8:IL87))," ")</f>
        <v xml:space="preserve"> </v>
      </c>
      <c r="ND87" s="102">
        <f>IFERROR(ROWS($IL$8:IL87)," ")</f>
        <v>80</v>
      </c>
      <c r="NE87" s="103" t="str">
        <f>IFERROR(IF([1]Checklist!$C$17='GenInfo (2)'!E87,'GenInfo (2)'!ND87," ")," ")</f>
        <v xml:space="preserve"> </v>
      </c>
      <c r="NF87" s="104" t="str">
        <f>IFERROR(SMALL($NE$8:$NE$94,ROWS($IL$8:IL87))," ")</f>
        <v xml:space="preserve"> </v>
      </c>
    </row>
    <row r="88" spans="5:370" ht="14.25" x14ac:dyDescent="0.45">
      <c r="E88" s="64"/>
      <c r="F88" s="63"/>
      <c r="G88" s="64"/>
      <c r="H88" s="63"/>
      <c r="I88" s="63"/>
      <c r="J88" s="63"/>
      <c r="K88" s="62"/>
      <c r="L88" s="67"/>
      <c r="M88" s="67"/>
      <c r="N88" s="67"/>
      <c r="O88" s="68"/>
      <c r="P88" s="67"/>
      <c r="Q88" s="67"/>
      <c r="R88" s="63"/>
      <c r="S88" s="67"/>
      <c r="T88" s="63"/>
      <c r="U88" s="62"/>
      <c r="V88" s="63"/>
      <c r="W88" s="63"/>
      <c r="X88" s="69"/>
      <c r="Y88" s="63"/>
      <c r="Z88" s="69"/>
      <c r="AA88" s="62"/>
      <c r="AB88" s="63"/>
      <c r="AC88" s="63"/>
      <c r="AD88" s="63"/>
      <c r="AE88" s="63"/>
      <c r="AF88" s="63"/>
      <c r="AG88" s="63"/>
      <c r="AH88" s="63"/>
      <c r="AI88" s="63"/>
      <c r="AJ88" s="63"/>
      <c r="AK88" s="62"/>
      <c r="AL88" s="71">
        <f t="shared" si="95"/>
        <v>0</v>
      </c>
      <c r="AM88" s="71">
        <f t="shared" ca="1" si="137"/>
        <v>122</v>
      </c>
      <c r="AN88" s="63"/>
      <c r="AO88" s="72" t="str">
        <f t="shared" ca="1" si="97"/>
        <v/>
      </c>
      <c r="AP88" s="63"/>
      <c r="AQ88" s="73"/>
      <c r="AR88" s="70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2"/>
      <c r="BE88" s="71">
        <f t="shared" si="144"/>
        <v>0</v>
      </c>
      <c r="BF88" s="71">
        <f t="shared" si="144"/>
        <v>0</v>
      </c>
      <c r="BG88" s="71">
        <f t="shared" si="99"/>
        <v>0</v>
      </c>
      <c r="BH88" s="74" t="str">
        <f t="shared" si="100"/>
        <v xml:space="preserve"> </v>
      </c>
      <c r="BI88" s="75" t="str">
        <f t="shared" si="101"/>
        <v xml:space="preserve"> </v>
      </c>
      <c r="BJ88" s="71">
        <f t="shared" si="102"/>
        <v>0</v>
      </c>
      <c r="BK88" s="75" t="str">
        <f t="shared" si="103"/>
        <v xml:space="preserve"> </v>
      </c>
      <c r="BL88" s="76">
        <f t="shared" si="145"/>
        <v>0</v>
      </c>
      <c r="BM88" s="77">
        <f t="shared" si="145"/>
        <v>0</v>
      </c>
      <c r="BN88" s="78"/>
      <c r="BO88" s="67"/>
      <c r="BP88" s="67"/>
      <c r="BQ88" s="63"/>
      <c r="BR88" s="63"/>
      <c r="BS88" s="74" t="str">
        <f t="shared" si="108"/>
        <v xml:space="preserve"> </v>
      </c>
      <c r="BT88" s="79" t="s">
        <v>221</v>
      </c>
      <c r="BU88" s="79" t="s">
        <v>221</v>
      </c>
      <c r="BV88" s="80">
        <v>0</v>
      </c>
      <c r="BW88" s="81">
        <v>0</v>
      </c>
      <c r="BX88" s="82"/>
      <c r="BY88" s="83"/>
      <c r="BZ88" s="83"/>
      <c r="CA88" s="84"/>
      <c r="CB88" s="84"/>
      <c r="CC88" s="74" t="str">
        <f t="shared" si="109"/>
        <v xml:space="preserve"> </v>
      </c>
      <c r="CD88" s="79" t="s">
        <v>221</v>
      </c>
      <c r="CE88" s="81">
        <v>0</v>
      </c>
      <c r="CF88" s="85"/>
      <c r="CG88" s="85"/>
      <c r="CH88" s="85"/>
      <c r="CI88" s="78"/>
      <c r="CJ88" s="78"/>
      <c r="CK88" s="74" t="str">
        <f t="shared" si="110"/>
        <v xml:space="preserve"> </v>
      </c>
      <c r="CL88" s="79" t="s">
        <v>221</v>
      </c>
      <c r="CM88" s="79" t="s">
        <v>221</v>
      </c>
      <c r="CN88" s="86" t="s">
        <v>221</v>
      </c>
      <c r="CO88" s="81">
        <v>0</v>
      </c>
      <c r="CP88" s="87"/>
      <c r="CQ88" s="83"/>
      <c r="CR88" s="83"/>
      <c r="CS88" s="82"/>
      <c r="CT88" s="82"/>
      <c r="CU88" s="74" t="str">
        <f t="shared" si="111"/>
        <v xml:space="preserve"> </v>
      </c>
      <c r="CV88" s="79" t="s">
        <v>221</v>
      </c>
      <c r="CW88" s="79" t="s">
        <v>221</v>
      </c>
      <c r="CX88" s="88" t="s">
        <v>221</v>
      </c>
      <c r="CY88" s="81">
        <v>0</v>
      </c>
      <c r="CZ88" s="89"/>
      <c r="DA88" s="67"/>
      <c r="DB88" s="67"/>
      <c r="DC88" s="78"/>
      <c r="DD88" s="78"/>
      <c r="DE88" s="74" t="str">
        <f t="shared" si="112"/>
        <v xml:space="preserve"> </v>
      </c>
      <c r="DF88" s="79" t="s">
        <v>221</v>
      </c>
      <c r="DG88" s="79" t="s">
        <v>221</v>
      </c>
      <c r="DH88" s="79" t="s">
        <v>221</v>
      </c>
      <c r="DI88" s="81">
        <v>0</v>
      </c>
      <c r="DJ88" s="87"/>
      <c r="DK88" s="83"/>
      <c r="DL88" s="83"/>
      <c r="DM88" s="82"/>
      <c r="DN88" s="82"/>
      <c r="DO88" s="74" t="str">
        <f t="shared" si="113"/>
        <v xml:space="preserve"> </v>
      </c>
      <c r="DP88" s="79" t="s">
        <v>221</v>
      </c>
      <c r="DQ88" s="79" t="s">
        <v>221</v>
      </c>
      <c r="DR88" s="79" t="s">
        <v>221</v>
      </c>
      <c r="DS88" s="81">
        <v>0</v>
      </c>
      <c r="DT88" s="89"/>
      <c r="DU88" s="67"/>
      <c r="DV88" s="67"/>
      <c r="DW88" s="78"/>
      <c r="DX88" s="78"/>
      <c r="DY88" s="74" t="str">
        <f t="shared" si="114"/>
        <v xml:space="preserve"> </v>
      </c>
      <c r="DZ88" s="94"/>
      <c r="EA88" s="94"/>
      <c r="EB88" s="94"/>
      <c r="EC88" s="94"/>
      <c r="ED88" s="87"/>
      <c r="EE88" s="83"/>
      <c r="EF88" s="83"/>
      <c r="EG88" s="82"/>
      <c r="EH88" s="82"/>
      <c r="EI88" s="74" t="str">
        <f t="shared" si="105"/>
        <v xml:space="preserve"> </v>
      </c>
      <c r="EJ88" s="92"/>
      <c r="EK88" s="92"/>
      <c r="EL88" s="92"/>
      <c r="EM88" s="92"/>
      <c r="EN88" s="89"/>
      <c r="EO88" s="67"/>
      <c r="EP88" s="67"/>
      <c r="EQ88" s="78"/>
      <c r="ER88" s="78"/>
      <c r="ES88" s="74" t="str">
        <f t="shared" si="106"/>
        <v xml:space="preserve"> </v>
      </c>
      <c r="ET88" s="94"/>
      <c r="EU88" s="94"/>
      <c r="EV88" s="94">
        <v>0</v>
      </c>
      <c r="EW88" s="76">
        <v>0</v>
      </c>
      <c r="EX88" s="87"/>
      <c r="EY88" s="83"/>
      <c r="EZ88" s="83"/>
      <c r="FA88" s="82"/>
      <c r="FB88" s="82"/>
      <c r="FC88" s="74" t="str">
        <f t="shared" si="115"/>
        <v xml:space="preserve"> </v>
      </c>
      <c r="FD88" s="92"/>
      <c r="FE88" s="92"/>
      <c r="FF88" s="92"/>
      <c r="FG88" s="92"/>
      <c r="FH88" s="76">
        <f t="shared" si="116"/>
        <v>0</v>
      </c>
      <c r="FI88" s="89"/>
      <c r="FJ88" s="67"/>
      <c r="FK88" s="67"/>
      <c r="FL88" s="78"/>
      <c r="FM88" s="78"/>
      <c r="FN88" s="74" t="str">
        <f t="shared" si="117"/>
        <v xml:space="preserve"> </v>
      </c>
      <c r="FO88" s="94"/>
      <c r="FP88" s="94"/>
      <c r="FQ88" s="94"/>
      <c r="FR88" s="94"/>
      <c r="FS88" s="76">
        <f t="shared" si="118"/>
        <v>0</v>
      </c>
      <c r="FT88" s="87"/>
      <c r="FU88" s="83"/>
      <c r="FV88" s="83"/>
      <c r="FW88" s="82"/>
      <c r="FX88" s="82"/>
      <c r="FY88" s="74" t="str">
        <f t="shared" si="119"/>
        <v xml:space="preserve"> </v>
      </c>
      <c r="FZ88" s="92"/>
      <c r="GA88" s="92"/>
      <c r="GB88" s="92"/>
      <c r="GC88" s="92"/>
      <c r="GD88" s="76">
        <f t="shared" si="120"/>
        <v>0</v>
      </c>
      <c r="GE88" s="62"/>
      <c r="GF88" s="96" t="s">
        <v>221</v>
      </c>
      <c r="GG88" s="96" t="s">
        <v>221</v>
      </c>
      <c r="GH88" s="63"/>
      <c r="GI88" s="63"/>
      <c r="GJ88" s="63"/>
      <c r="GK88" s="97">
        <f t="shared" ref="GK88:GK94" si="146">IFERROR(SUM(GH88:GJ88)," ")</f>
        <v>0</v>
      </c>
      <c r="GL88" s="98"/>
      <c r="GM88" s="98"/>
      <c r="GN88" s="97">
        <f t="shared" si="121"/>
        <v>0</v>
      </c>
      <c r="GO88" s="97" t="str">
        <f t="shared" si="122"/>
        <v xml:space="preserve"> </v>
      </c>
      <c r="GP88" s="62"/>
      <c r="GQ88" s="63"/>
      <c r="GR88" s="63"/>
      <c r="GS88" s="63"/>
      <c r="GT88" s="63"/>
      <c r="GU88" s="63"/>
      <c r="GV88" s="63"/>
      <c r="GW88" s="63"/>
      <c r="GX88" s="63"/>
      <c r="GY88" s="65" t="str">
        <f t="shared" si="138"/>
        <v/>
      </c>
      <c r="GZ88" s="65" t="str">
        <f t="shared" si="139"/>
        <v/>
      </c>
      <c r="HA88" s="63"/>
      <c r="HB88" s="63"/>
      <c r="HC88" s="63"/>
      <c r="HD88" s="63"/>
      <c r="HE88" s="63"/>
      <c r="HF88" s="63"/>
      <c r="HG88" s="63"/>
      <c r="HH88" s="63"/>
      <c r="HI88" s="63"/>
      <c r="HJ88" s="63"/>
      <c r="HK88" s="63"/>
      <c r="HL88" s="65" t="str">
        <f t="shared" si="140"/>
        <v/>
      </c>
      <c r="HM88" s="65" t="str">
        <f t="shared" si="124"/>
        <v/>
      </c>
      <c r="HN88" s="65" t="str">
        <f t="shared" si="141"/>
        <v/>
      </c>
      <c r="HO88" s="65" t="str">
        <f t="shared" si="142"/>
        <v/>
      </c>
      <c r="HP88" s="99" t="str">
        <f t="shared" si="130"/>
        <v/>
      </c>
      <c r="HQ88" s="99" t="str">
        <f t="shared" si="143"/>
        <v/>
      </c>
      <c r="HR88" s="63"/>
      <c r="HS88" s="63"/>
      <c r="HT88" s="63"/>
      <c r="HU88" s="63"/>
      <c r="HV88" s="63"/>
      <c r="HW88" s="63"/>
      <c r="HX88" s="63"/>
      <c r="HY88" s="63"/>
      <c r="HZ88" s="63"/>
      <c r="IA88" s="63"/>
      <c r="IB88" s="63"/>
      <c r="IC88" s="63"/>
      <c r="ID88" s="63"/>
      <c r="IE88" s="63"/>
      <c r="IF88" s="63"/>
      <c r="IG88" s="63"/>
      <c r="IH88" s="63"/>
      <c r="II88" s="63"/>
      <c r="IJ88" s="63"/>
      <c r="IK88" s="63"/>
      <c r="IL88" s="63"/>
      <c r="IM88" s="62"/>
      <c r="IN88" s="101"/>
      <c r="IO88" s="101"/>
      <c r="IP88" s="63"/>
      <c r="IQ88" s="63"/>
      <c r="IR88" s="63"/>
      <c r="IS88" s="63"/>
      <c r="IT88" s="63"/>
      <c r="IU88" s="63"/>
      <c r="IV88" s="63"/>
      <c r="IW88" s="63"/>
      <c r="IX88" s="63"/>
      <c r="IY88" s="63"/>
      <c r="IZ88" s="63"/>
      <c r="JA88" s="65">
        <f t="shared" si="107"/>
        <v>0</v>
      </c>
      <c r="JB88" s="63"/>
      <c r="JC88" s="101"/>
      <c r="JD88" s="101"/>
      <c r="JE88" s="63"/>
      <c r="JF88" s="63"/>
      <c r="JG88" s="63"/>
      <c r="JH88" s="63"/>
      <c r="JI88" s="63"/>
      <c r="JJ88" s="63"/>
      <c r="JK88" s="63"/>
      <c r="JL88" s="63"/>
      <c r="JM88" s="63"/>
      <c r="JN88" s="63"/>
      <c r="JO88" s="63"/>
      <c r="JP88" s="65">
        <f t="shared" si="133"/>
        <v>0</v>
      </c>
      <c r="JQ88" s="63"/>
      <c r="LM88" s="205"/>
      <c r="LN88" s="102">
        <f>IFERROR(ROWS($IL$8:IL88)," ")</f>
        <v>81</v>
      </c>
      <c r="LO88" s="103" t="str">
        <f>IFERROR(IF([1]Checklist!$C$3='GenInfo (2)'!E88,'GenInfo (2)'!LN88," ")," ")</f>
        <v xml:space="preserve"> </v>
      </c>
      <c r="LP88" s="104" t="str">
        <f>IFERROR(SMALL($LO$8:$LO$94,ROWS($IL$8:IL88))," ")</f>
        <v xml:space="preserve"> </v>
      </c>
      <c r="LQ88" s="102">
        <f>IFERROR(ROWS($IL$8:IL88)," ")</f>
        <v>81</v>
      </c>
      <c r="LR88" s="103" t="str">
        <f>IFERROR(IF([1]Checklist!$C$4='GenInfo (2)'!E88,'GenInfo (2)'!LQ88," ")," ")</f>
        <v xml:space="preserve"> </v>
      </c>
      <c r="LS88" s="104" t="str">
        <f>IFERROR(SMALL($LR$8:$LR$94,ROWS($IL$8:IL88))," ")</f>
        <v xml:space="preserve"> </v>
      </c>
      <c r="LT88" s="102">
        <f>IFERROR(ROWS($IL$8:IL88)," ")</f>
        <v>81</v>
      </c>
      <c r="LU88" s="103" t="str">
        <f>IFERROR(IF([1]Checklist!$C$5='GenInfo (2)'!E88,'GenInfo (2)'!LT88," ")," ")</f>
        <v xml:space="preserve"> </v>
      </c>
      <c r="LV88" s="104" t="str">
        <f>IFERROR(SMALL($LU$8:$LU$94,ROWS($IL$8:IL88))," ")</f>
        <v xml:space="preserve"> </v>
      </c>
      <c r="LW88" s="102">
        <f>IFERROR(ROWS($IL$8:IL88)," ")</f>
        <v>81</v>
      </c>
      <c r="LX88" s="103" t="str">
        <f>IFERROR(IF([1]Checklist!$C$6='GenInfo (2)'!E88,'GenInfo (2)'!LW88," ")," ")</f>
        <v xml:space="preserve"> </v>
      </c>
      <c r="LY88" s="104" t="str">
        <f>IFERROR(SMALL($LX$8:$LX$94,ROWS($IL$8:IL88))," ")</f>
        <v xml:space="preserve"> </v>
      </c>
      <c r="LZ88" s="102">
        <f>IFERROR(ROWS($IL$8:IL88)," ")</f>
        <v>81</v>
      </c>
      <c r="MA88" s="103" t="str">
        <f>IFERROR(IF([1]Checklist!$C$7='GenInfo (2)'!E88,'GenInfo (2)'!LZ88," ")," ")</f>
        <v xml:space="preserve"> </v>
      </c>
      <c r="MB88" s="104" t="str">
        <f>IFERROR(SMALL($MA$8:$MA$94,ROWS($IL$8:IL88))," ")</f>
        <v xml:space="preserve"> </v>
      </c>
      <c r="MC88" s="102">
        <f>IFERROR(ROWS($IL$8:IL88)," ")</f>
        <v>81</v>
      </c>
      <c r="MD88" s="103" t="str">
        <f>IFERROR(IF([1]Checklist!$C$8='GenInfo (2)'!E88,'GenInfo (2)'!MC88," ")," ")</f>
        <v xml:space="preserve"> </v>
      </c>
      <c r="ME88" s="104" t="str">
        <f>IFERROR(SMALL($MD$8:$MD$94,ROWS($IL$8:IL88))," ")</f>
        <v xml:space="preserve"> </v>
      </c>
      <c r="MF88" s="102">
        <f>IFERROR(ROWS($IL$8:IL88)," ")</f>
        <v>81</v>
      </c>
      <c r="MG88" s="103" t="str">
        <f>IFERROR(IF([1]Checklist!$C$9='GenInfo (2)'!E88,'GenInfo (2)'!MF88," ")," ")</f>
        <v xml:space="preserve"> </v>
      </c>
      <c r="MH88" s="104" t="str">
        <f>IFERROR(SMALL($MG$8:$MG$94,ROWS($IL$8:IL88))," ")</f>
        <v xml:space="preserve"> </v>
      </c>
      <c r="MI88" s="102">
        <f>IFERROR(ROWS($IL$8:$IL88)," ")</f>
        <v>81</v>
      </c>
      <c r="MJ88" s="103" t="str">
        <f>IFERROR(IF([1]Checklist!$C$10='GenInfo (2)'!E88,'GenInfo (2)'!MI88," ")," ")</f>
        <v xml:space="preserve"> </v>
      </c>
      <c r="MK88" s="104" t="str">
        <f>IFERROR(SMALL($MJ$8:$MJ$94,ROWS($IL$8:IL88))," ")</f>
        <v xml:space="preserve"> </v>
      </c>
      <c r="ML88" s="102">
        <f>IFERROR(ROWS($IL$8:IL88)," ")</f>
        <v>81</v>
      </c>
      <c r="MM88" s="103" t="str">
        <f>IFERROR(IF([1]Checklist!$C$11='GenInfo (2)'!E88,'GenInfo (2)'!ML88," ")," ")</f>
        <v xml:space="preserve"> </v>
      </c>
      <c r="MN88" s="104" t="str">
        <f>IFERROR(SMALL($MM$8:$MM$94,ROWS($IL$8:IL88))," ")</f>
        <v xml:space="preserve"> </v>
      </c>
      <c r="MO88" s="102">
        <f>IFERROR(ROWS($IL$8:IL88)," ")</f>
        <v>81</v>
      </c>
      <c r="MP88" s="103" t="str">
        <f>IFERROR(IF([1]Checklist!$C$12='GenInfo (2)'!E88,'GenInfo (2)'!MO88," ")," ")</f>
        <v xml:space="preserve"> </v>
      </c>
      <c r="MQ88" s="104" t="str">
        <f>IFERROR(SMALL($MP$8:$MP$94,ROWS($IL$8:IL88))," ")</f>
        <v xml:space="preserve"> </v>
      </c>
      <c r="MR88" s="102">
        <f>IFERROR(ROWS($IL$8:IL88)," ")</f>
        <v>81</v>
      </c>
      <c r="MS88" s="103" t="str">
        <f>IFERROR(IF([1]Checklist!$C$13='GenInfo (2)'!E88,'GenInfo (2)'!MR88," ")," ")</f>
        <v xml:space="preserve"> </v>
      </c>
      <c r="MT88" s="104" t="str">
        <f>IFERROR(SMALL($MS$8:$MS$94,ROWS($IL$8:IL88))," ")</f>
        <v xml:space="preserve"> </v>
      </c>
      <c r="MU88" s="102">
        <f>IFERROR(ROWS($IL$8:IL88)," ")</f>
        <v>81</v>
      </c>
      <c r="MV88" s="103" t="str">
        <f>IFERROR(IF([1]Checklist!$C$14='GenInfo (2)'!E88,'GenInfo (2)'!MU88," ")," ")</f>
        <v xml:space="preserve"> </v>
      </c>
      <c r="MW88" s="104" t="str">
        <f>IFERROR(SMALL($MV$8:$MV$94,ROWS($IL$8:IL88))," ")</f>
        <v xml:space="preserve"> </v>
      </c>
      <c r="MX88" s="102">
        <f>IFERROR(ROWS($IL$8:IL88)," ")</f>
        <v>81</v>
      </c>
      <c r="MY88" s="103" t="str">
        <f>IFERROR(IF([1]Checklist!$C$15='GenInfo (2)'!E88,'GenInfo (2)'!MX88," ")," ")</f>
        <v xml:space="preserve"> </v>
      </c>
      <c r="MZ88" s="104" t="str">
        <f>IFERROR(SMALL($MY$8:$MY$94,ROWS($IL$8:IL88))," ")</f>
        <v xml:space="preserve"> </v>
      </c>
      <c r="NA88" s="102">
        <f>IFERROR(ROWS($IL$8:IL88)," ")</f>
        <v>81</v>
      </c>
      <c r="NB88" s="103" t="str">
        <f>IFERROR(IF([1]Checklist!$C$16='GenInfo (2)'!E88,'GenInfo (2)'!NA88," ")," ")</f>
        <v xml:space="preserve"> </v>
      </c>
      <c r="NC88" s="104" t="str">
        <f>IFERROR(SMALL($NB$8:$NB$94,ROWS($IL$8:IL88))," ")</f>
        <v xml:space="preserve"> </v>
      </c>
      <c r="ND88" s="102">
        <f>IFERROR(ROWS($IL$8:IL88)," ")</f>
        <v>81</v>
      </c>
      <c r="NE88" s="103" t="str">
        <f>IFERROR(IF([1]Checklist!$C$17='GenInfo (2)'!E88,'GenInfo (2)'!ND88," ")," ")</f>
        <v xml:space="preserve"> </v>
      </c>
      <c r="NF88" s="104" t="str">
        <f>IFERROR(SMALL($NE$8:$NE$94,ROWS($IL$8:IL88))," ")</f>
        <v xml:space="preserve"> </v>
      </c>
    </row>
    <row r="89" spans="5:370" ht="14.25" x14ac:dyDescent="0.45">
      <c r="E89" s="64"/>
      <c r="F89" s="63"/>
      <c r="G89" s="64"/>
      <c r="H89" s="63"/>
      <c r="I89" s="63"/>
      <c r="J89" s="63"/>
      <c r="K89" s="62"/>
      <c r="L89" s="67"/>
      <c r="M89" s="67"/>
      <c r="N89" s="67"/>
      <c r="O89" s="68"/>
      <c r="P89" s="67"/>
      <c r="Q89" s="67"/>
      <c r="R89" s="63"/>
      <c r="S89" s="67"/>
      <c r="T89" s="63"/>
      <c r="U89" s="62"/>
      <c r="V89" s="63"/>
      <c r="W89" s="63"/>
      <c r="X89" s="69"/>
      <c r="Y89" s="63"/>
      <c r="Z89" s="69"/>
      <c r="AA89" s="62"/>
      <c r="AB89" s="63"/>
      <c r="AC89" s="63"/>
      <c r="AD89" s="63"/>
      <c r="AE89" s="63"/>
      <c r="AF89" s="63"/>
      <c r="AG89" s="63"/>
      <c r="AH89" s="63"/>
      <c r="AI89" s="63"/>
      <c r="AJ89" s="63"/>
      <c r="AK89" s="62"/>
      <c r="AL89" s="71">
        <f t="shared" si="95"/>
        <v>0</v>
      </c>
      <c r="AM89" s="71">
        <f t="shared" ca="1" si="137"/>
        <v>122</v>
      </c>
      <c r="AN89" s="63"/>
      <c r="AO89" s="72" t="str">
        <f t="shared" ca="1" si="97"/>
        <v/>
      </c>
      <c r="AP89" s="63"/>
      <c r="AQ89" s="73"/>
      <c r="AR89" s="70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2"/>
      <c r="BE89" s="71">
        <f t="shared" si="144"/>
        <v>0</v>
      </c>
      <c r="BF89" s="71">
        <f t="shared" si="144"/>
        <v>0</v>
      </c>
      <c r="BG89" s="71">
        <f t="shared" si="99"/>
        <v>0</v>
      </c>
      <c r="BH89" s="74" t="str">
        <f t="shared" si="100"/>
        <v xml:space="preserve"> </v>
      </c>
      <c r="BI89" s="75" t="str">
        <f t="shared" si="101"/>
        <v xml:space="preserve"> </v>
      </c>
      <c r="BJ89" s="71">
        <f t="shared" si="102"/>
        <v>0</v>
      </c>
      <c r="BK89" s="75" t="str">
        <f t="shared" si="103"/>
        <v xml:space="preserve"> </v>
      </c>
      <c r="BL89" s="76">
        <f t="shared" si="145"/>
        <v>0</v>
      </c>
      <c r="BM89" s="77">
        <f t="shared" si="145"/>
        <v>0</v>
      </c>
      <c r="BN89" s="78"/>
      <c r="BO89" s="67"/>
      <c r="BP89" s="67"/>
      <c r="BQ89" s="63"/>
      <c r="BR89" s="63"/>
      <c r="BS89" s="74" t="str">
        <f t="shared" si="108"/>
        <v xml:space="preserve"> </v>
      </c>
      <c r="BT89" s="79" t="s">
        <v>221</v>
      </c>
      <c r="BU89" s="79" t="s">
        <v>221</v>
      </c>
      <c r="BV89" s="80">
        <v>0</v>
      </c>
      <c r="BW89" s="81">
        <v>0</v>
      </c>
      <c r="BX89" s="82"/>
      <c r="BY89" s="83"/>
      <c r="BZ89" s="83"/>
      <c r="CA89" s="84"/>
      <c r="CB89" s="84"/>
      <c r="CC89" s="74" t="str">
        <f t="shared" si="109"/>
        <v xml:space="preserve"> </v>
      </c>
      <c r="CD89" s="79" t="s">
        <v>221</v>
      </c>
      <c r="CE89" s="81">
        <v>0</v>
      </c>
      <c r="CF89" s="85"/>
      <c r="CG89" s="85"/>
      <c r="CH89" s="85"/>
      <c r="CI89" s="78"/>
      <c r="CJ89" s="78"/>
      <c r="CK89" s="74" t="str">
        <f t="shared" si="110"/>
        <v xml:space="preserve"> </v>
      </c>
      <c r="CL89" s="79" t="s">
        <v>221</v>
      </c>
      <c r="CM89" s="79" t="s">
        <v>221</v>
      </c>
      <c r="CN89" s="86" t="s">
        <v>221</v>
      </c>
      <c r="CO89" s="81">
        <v>0</v>
      </c>
      <c r="CP89" s="87"/>
      <c r="CQ89" s="83"/>
      <c r="CR89" s="83"/>
      <c r="CS89" s="82"/>
      <c r="CT89" s="82"/>
      <c r="CU89" s="74" t="str">
        <f t="shared" si="111"/>
        <v xml:space="preserve"> </v>
      </c>
      <c r="CV89" s="79" t="s">
        <v>221</v>
      </c>
      <c r="CW89" s="79" t="s">
        <v>221</v>
      </c>
      <c r="CX89" s="88" t="s">
        <v>221</v>
      </c>
      <c r="CY89" s="81">
        <v>0</v>
      </c>
      <c r="CZ89" s="89"/>
      <c r="DA89" s="67"/>
      <c r="DB89" s="67"/>
      <c r="DC89" s="78"/>
      <c r="DD89" s="78"/>
      <c r="DE89" s="74" t="str">
        <f t="shared" si="112"/>
        <v xml:space="preserve"> </v>
      </c>
      <c r="DF89" s="79" t="s">
        <v>221</v>
      </c>
      <c r="DG89" s="79" t="s">
        <v>221</v>
      </c>
      <c r="DH89" s="79" t="s">
        <v>221</v>
      </c>
      <c r="DI89" s="81">
        <v>0</v>
      </c>
      <c r="DJ89" s="87"/>
      <c r="DK89" s="83"/>
      <c r="DL89" s="83"/>
      <c r="DM89" s="82"/>
      <c r="DN89" s="82"/>
      <c r="DO89" s="74" t="str">
        <f t="shared" si="113"/>
        <v xml:space="preserve"> </v>
      </c>
      <c r="DP89" s="79" t="s">
        <v>221</v>
      </c>
      <c r="DQ89" s="79" t="s">
        <v>221</v>
      </c>
      <c r="DR89" s="79" t="s">
        <v>221</v>
      </c>
      <c r="DS89" s="81">
        <v>0</v>
      </c>
      <c r="DT89" s="89"/>
      <c r="DU89" s="67"/>
      <c r="DV89" s="67"/>
      <c r="DW89" s="78"/>
      <c r="DX89" s="78"/>
      <c r="DY89" s="74" t="str">
        <f t="shared" si="114"/>
        <v xml:space="preserve"> </v>
      </c>
      <c r="DZ89" s="94"/>
      <c r="EA89" s="94"/>
      <c r="EB89" s="94"/>
      <c r="EC89" s="94"/>
      <c r="ED89" s="87"/>
      <c r="EE89" s="83"/>
      <c r="EF89" s="83"/>
      <c r="EG89" s="82"/>
      <c r="EH89" s="82"/>
      <c r="EI89" s="74" t="str">
        <f t="shared" si="105"/>
        <v xml:space="preserve"> </v>
      </c>
      <c r="EJ89" s="92"/>
      <c r="EK89" s="92"/>
      <c r="EL89" s="92"/>
      <c r="EM89" s="92"/>
      <c r="EN89" s="89"/>
      <c r="EO89" s="67"/>
      <c r="EP89" s="67"/>
      <c r="EQ89" s="78"/>
      <c r="ER89" s="78"/>
      <c r="ES89" s="74" t="str">
        <f t="shared" si="106"/>
        <v xml:space="preserve"> </v>
      </c>
      <c r="ET89" s="94"/>
      <c r="EU89" s="94"/>
      <c r="EV89" s="94">
        <v>0</v>
      </c>
      <c r="EW89" s="76">
        <v>0</v>
      </c>
      <c r="EX89" s="87"/>
      <c r="EY89" s="83"/>
      <c r="EZ89" s="83"/>
      <c r="FA89" s="82"/>
      <c r="FB89" s="82"/>
      <c r="FC89" s="74" t="str">
        <f t="shared" si="115"/>
        <v xml:space="preserve"> </v>
      </c>
      <c r="FD89" s="92"/>
      <c r="FE89" s="92"/>
      <c r="FF89" s="92"/>
      <c r="FG89" s="92"/>
      <c r="FH89" s="76">
        <f t="shared" si="116"/>
        <v>0</v>
      </c>
      <c r="FI89" s="89"/>
      <c r="FJ89" s="67"/>
      <c r="FK89" s="67"/>
      <c r="FL89" s="78"/>
      <c r="FM89" s="78"/>
      <c r="FN89" s="74" t="str">
        <f t="shared" si="117"/>
        <v xml:space="preserve"> </v>
      </c>
      <c r="FO89" s="94"/>
      <c r="FP89" s="94"/>
      <c r="FQ89" s="94"/>
      <c r="FR89" s="94"/>
      <c r="FS89" s="76">
        <f t="shared" si="118"/>
        <v>0</v>
      </c>
      <c r="FT89" s="87"/>
      <c r="FU89" s="83"/>
      <c r="FV89" s="83"/>
      <c r="FW89" s="82"/>
      <c r="FX89" s="82"/>
      <c r="FY89" s="74" t="str">
        <f t="shared" si="119"/>
        <v xml:space="preserve"> </v>
      </c>
      <c r="FZ89" s="92"/>
      <c r="GA89" s="92"/>
      <c r="GB89" s="92"/>
      <c r="GC89" s="92"/>
      <c r="GD89" s="76">
        <f t="shared" si="120"/>
        <v>0</v>
      </c>
      <c r="GE89" s="62"/>
      <c r="GF89" s="96" t="s">
        <v>221</v>
      </c>
      <c r="GG89" s="96" t="s">
        <v>221</v>
      </c>
      <c r="GH89" s="63"/>
      <c r="GI89" s="63"/>
      <c r="GJ89" s="63"/>
      <c r="GK89" s="97">
        <f t="shared" si="146"/>
        <v>0</v>
      </c>
      <c r="GL89" s="98"/>
      <c r="GM89" s="98"/>
      <c r="GN89" s="97">
        <f t="shared" si="121"/>
        <v>0</v>
      </c>
      <c r="GO89" s="97" t="str">
        <f t="shared" si="122"/>
        <v xml:space="preserve"> </v>
      </c>
      <c r="GP89" s="62"/>
      <c r="GQ89" s="63"/>
      <c r="GR89" s="63"/>
      <c r="GS89" s="63"/>
      <c r="GT89" s="63"/>
      <c r="GU89" s="63"/>
      <c r="GV89" s="63"/>
      <c r="GW89" s="63"/>
      <c r="GX89" s="63"/>
      <c r="GY89" s="65" t="str">
        <f t="shared" si="138"/>
        <v/>
      </c>
      <c r="GZ89" s="65" t="str">
        <f t="shared" si="139"/>
        <v/>
      </c>
      <c r="HA89" s="63"/>
      <c r="HB89" s="63"/>
      <c r="HC89" s="63"/>
      <c r="HD89" s="63"/>
      <c r="HE89" s="63"/>
      <c r="HF89" s="63"/>
      <c r="HG89" s="63"/>
      <c r="HH89" s="63"/>
      <c r="HI89" s="63"/>
      <c r="HJ89" s="63"/>
      <c r="HK89" s="63"/>
      <c r="HL89" s="65" t="str">
        <f t="shared" si="140"/>
        <v/>
      </c>
      <c r="HM89" s="65" t="str">
        <f t="shared" si="124"/>
        <v/>
      </c>
      <c r="HN89" s="65" t="str">
        <f t="shared" si="141"/>
        <v/>
      </c>
      <c r="HO89" s="65" t="str">
        <f t="shared" si="142"/>
        <v/>
      </c>
      <c r="HP89" s="99" t="str">
        <f t="shared" si="130"/>
        <v/>
      </c>
      <c r="HQ89" s="99" t="str">
        <f t="shared" si="143"/>
        <v/>
      </c>
      <c r="HR89" s="63"/>
      <c r="HS89" s="63"/>
      <c r="HT89" s="63"/>
      <c r="HU89" s="63"/>
      <c r="HV89" s="63"/>
      <c r="HW89" s="63"/>
      <c r="HX89" s="63"/>
      <c r="HY89" s="63"/>
      <c r="HZ89" s="63"/>
      <c r="IA89" s="63"/>
      <c r="IB89" s="63"/>
      <c r="IC89" s="63"/>
      <c r="ID89" s="63"/>
      <c r="IE89" s="63"/>
      <c r="IF89" s="63"/>
      <c r="IG89" s="63"/>
      <c r="IH89" s="63"/>
      <c r="II89" s="63"/>
      <c r="IJ89" s="63"/>
      <c r="IK89" s="63"/>
      <c r="IL89" s="63"/>
      <c r="IM89" s="62"/>
      <c r="IN89" s="101"/>
      <c r="IO89" s="101"/>
      <c r="IP89" s="63"/>
      <c r="IQ89" s="63"/>
      <c r="IR89" s="63"/>
      <c r="IS89" s="63"/>
      <c r="IT89" s="63"/>
      <c r="IU89" s="63"/>
      <c r="IV89" s="63"/>
      <c r="IW89" s="63"/>
      <c r="IX89" s="63"/>
      <c r="IY89" s="63"/>
      <c r="IZ89" s="63"/>
      <c r="JA89" s="65">
        <f t="shared" si="107"/>
        <v>0</v>
      </c>
      <c r="JB89" s="63"/>
      <c r="JC89" s="101"/>
      <c r="JD89" s="101"/>
      <c r="JE89" s="63"/>
      <c r="JF89" s="63"/>
      <c r="JG89" s="63"/>
      <c r="JH89" s="63"/>
      <c r="JI89" s="63"/>
      <c r="JJ89" s="63"/>
      <c r="JK89" s="63"/>
      <c r="JL89" s="63"/>
      <c r="JM89" s="63"/>
      <c r="JN89" s="63"/>
      <c r="JO89" s="63"/>
      <c r="JP89" s="65">
        <f t="shared" si="133"/>
        <v>0</v>
      </c>
      <c r="JQ89" s="63"/>
      <c r="LM89" s="205"/>
      <c r="LN89" s="102">
        <f>IFERROR(ROWS($IL$8:IL89)," ")</f>
        <v>82</v>
      </c>
      <c r="LO89" s="103" t="str">
        <f>IFERROR(IF([1]Checklist!$C$3='GenInfo (2)'!E89,'GenInfo (2)'!LN89," ")," ")</f>
        <v xml:space="preserve"> </v>
      </c>
      <c r="LP89" s="104" t="str">
        <f>IFERROR(SMALL($LO$8:$LO$94,ROWS($IL$8:IL89))," ")</f>
        <v xml:space="preserve"> </v>
      </c>
      <c r="LQ89" s="102">
        <f>IFERROR(ROWS($IL$8:IL89)," ")</f>
        <v>82</v>
      </c>
      <c r="LR89" s="103" t="str">
        <f>IFERROR(IF([1]Checklist!$C$4='GenInfo (2)'!E89,'GenInfo (2)'!LQ89," ")," ")</f>
        <v xml:space="preserve"> </v>
      </c>
      <c r="LS89" s="104" t="str">
        <f>IFERROR(SMALL($LR$8:$LR$94,ROWS($IL$8:IL89))," ")</f>
        <v xml:space="preserve"> </v>
      </c>
      <c r="LT89" s="102">
        <f>IFERROR(ROWS($IL$8:IL89)," ")</f>
        <v>82</v>
      </c>
      <c r="LU89" s="103" t="str">
        <f>IFERROR(IF([1]Checklist!$C$5='GenInfo (2)'!E89,'GenInfo (2)'!LT89," ")," ")</f>
        <v xml:space="preserve"> </v>
      </c>
      <c r="LV89" s="104" t="str">
        <f>IFERROR(SMALL($LU$8:$LU$94,ROWS($IL$8:IL89))," ")</f>
        <v xml:space="preserve"> </v>
      </c>
      <c r="LW89" s="102">
        <f>IFERROR(ROWS($IL$8:IL89)," ")</f>
        <v>82</v>
      </c>
      <c r="LX89" s="103" t="str">
        <f>IFERROR(IF([1]Checklist!$C$6='GenInfo (2)'!E89,'GenInfo (2)'!LW89," ")," ")</f>
        <v xml:space="preserve"> </v>
      </c>
      <c r="LY89" s="104" t="str">
        <f>IFERROR(SMALL($LX$8:$LX$94,ROWS($IL$8:IL89))," ")</f>
        <v xml:space="preserve"> </v>
      </c>
      <c r="LZ89" s="102">
        <f>IFERROR(ROWS($IL$8:IL89)," ")</f>
        <v>82</v>
      </c>
      <c r="MA89" s="103" t="str">
        <f>IFERROR(IF([1]Checklist!$C$7='GenInfo (2)'!E89,'GenInfo (2)'!LZ89," ")," ")</f>
        <v xml:space="preserve"> </v>
      </c>
      <c r="MB89" s="104" t="str">
        <f>IFERROR(SMALL($MA$8:$MA$94,ROWS($IL$8:IL89))," ")</f>
        <v xml:space="preserve"> </v>
      </c>
      <c r="MC89" s="102">
        <f>IFERROR(ROWS($IL$8:IL89)," ")</f>
        <v>82</v>
      </c>
      <c r="MD89" s="103" t="str">
        <f>IFERROR(IF([1]Checklist!$C$8='GenInfo (2)'!E89,'GenInfo (2)'!MC89," ")," ")</f>
        <v xml:space="preserve"> </v>
      </c>
      <c r="ME89" s="104" t="str">
        <f>IFERROR(SMALL($MD$8:$MD$94,ROWS($IL$8:IL89))," ")</f>
        <v xml:space="preserve"> </v>
      </c>
      <c r="MF89" s="102">
        <f>IFERROR(ROWS($IL$8:IL89)," ")</f>
        <v>82</v>
      </c>
      <c r="MG89" s="103" t="str">
        <f>IFERROR(IF([1]Checklist!$C$9='GenInfo (2)'!E89,'GenInfo (2)'!MF89," ")," ")</f>
        <v xml:space="preserve"> </v>
      </c>
      <c r="MH89" s="104" t="str">
        <f>IFERROR(SMALL($MG$8:$MG$94,ROWS($IL$8:IL89))," ")</f>
        <v xml:space="preserve"> </v>
      </c>
      <c r="MI89" s="102">
        <f>IFERROR(ROWS($IL$8:$IL89)," ")</f>
        <v>82</v>
      </c>
      <c r="MJ89" s="103" t="str">
        <f>IFERROR(IF([1]Checklist!$C$10='GenInfo (2)'!E89,'GenInfo (2)'!MI89," ")," ")</f>
        <v xml:space="preserve"> </v>
      </c>
      <c r="MK89" s="104" t="str">
        <f>IFERROR(SMALL($MJ$8:$MJ$94,ROWS($IL$8:IL89))," ")</f>
        <v xml:space="preserve"> </v>
      </c>
      <c r="ML89" s="102">
        <f>IFERROR(ROWS($IL$8:IL89)," ")</f>
        <v>82</v>
      </c>
      <c r="MM89" s="103" t="str">
        <f>IFERROR(IF([1]Checklist!$C$11='GenInfo (2)'!E89,'GenInfo (2)'!ML89," ")," ")</f>
        <v xml:space="preserve"> </v>
      </c>
      <c r="MN89" s="104" t="str">
        <f>IFERROR(SMALL($MM$8:$MM$94,ROWS($IL$8:IL89))," ")</f>
        <v xml:space="preserve"> </v>
      </c>
      <c r="MO89" s="102">
        <f>IFERROR(ROWS($IL$8:IL89)," ")</f>
        <v>82</v>
      </c>
      <c r="MP89" s="103" t="str">
        <f>IFERROR(IF([1]Checklist!$C$12='GenInfo (2)'!E89,'GenInfo (2)'!MO89," ")," ")</f>
        <v xml:space="preserve"> </v>
      </c>
      <c r="MQ89" s="104" t="str">
        <f>IFERROR(SMALL($MP$8:$MP$94,ROWS($IL$8:IL89))," ")</f>
        <v xml:space="preserve"> </v>
      </c>
      <c r="MR89" s="102">
        <f>IFERROR(ROWS($IL$8:IL89)," ")</f>
        <v>82</v>
      </c>
      <c r="MS89" s="103" t="str">
        <f>IFERROR(IF([1]Checklist!$C$13='GenInfo (2)'!E89,'GenInfo (2)'!MR89," ")," ")</f>
        <v xml:space="preserve"> </v>
      </c>
      <c r="MT89" s="104" t="str">
        <f>IFERROR(SMALL($MS$8:$MS$94,ROWS($IL$8:IL89))," ")</f>
        <v xml:space="preserve"> </v>
      </c>
      <c r="MU89" s="102">
        <f>IFERROR(ROWS($IL$8:IL89)," ")</f>
        <v>82</v>
      </c>
      <c r="MV89" s="103" t="str">
        <f>IFERROR(IF([1]Checklist!$C$14='GenInfo (2)'!E89,'GenInfo (2)'!MU89," ")," ")</f>
        <v xml:space="preserve"> </v>
      </c>
      <c r="MW89" s="104" t="str">
        <f>IFERROR(SMALL($MV$8:$MV$94,ROWS($IL$8:IL89))," ")</f>
        <v xml:space="preserve"> </v>
      </c>
      <c r="MX89" s="102">
        <f>IFERROR(ROWS($IL$8:IL89)," ")</f>
        <v>82</v>
      </c>
      <c r="MY89" s="103" t="str">
        <f>IFERROR(IF([1]Checklist!$C$15='GenInfo (2)'!E89,'GenInfo (2)'!MX89," ")," ")</f>
        <v xml:space="preserve"> </v>
      </c>
      <c r="MZ89" s="104" t="str">
        <f>IFERROR(SMALL($MY$8:$MY$94,ROWS($IL$8:IL89))," ")</f>
        <v xml:space="preserve"> </v>
      </c>
      <c r="NA89" s="102">
        <f>IFERROR(ROWS($IL$8:IL89)," ")</f>
        <v>82</v>
      </c>
      <c r="NB89" s="103" t="str">
        <f>IFERROR(IF([1]Checklist!$C$16='GenInfo (2)'!E89,'GenInfo (2)'!NA89," ")," ")</f>
        <v xml:space="preserve"> </v>
      </c>
      <c r="NC89" s="104" t="str">
        <f>IFERROR(SMALL($NB$8:$NB$94,ROWS($IL$8:IL89))," ")</f>
        <v xml:space="preserve"> </v>
      </c>
      <c r="ND89" s="102">
        <f>IFERROR(ROWS($IL$8:IL89)," ")</f>
        <v>82</v>
      </c>
      <c r="NE89" s="103" t="str">
        <f>IFERROR(IF([1]Checklist!$C$17='GenInfo (2)'!E89,'GenInfo (2)'!ND89," ")," ")</f>
        <v xml:space="preserve"> </v>
      </c>
      <c r="NF89" s="104" t="str">
        <f>IFERROR(SMALL($NE$8:$NE$94,ROWS($IL$8:IL89))," ")</f>
        <v xml:space="preserve"> </v>
      </c>
    </row>
    <row r="90" spans="5:370" ht="14.25" x14ac:dyDescent="0.45">
      <c r="E90" s="64"/>
      <c r="F90" s="63"/>
      <c r="G90" s="64"/>
      <c r="H90" s="63"/>
      <c r="I90" s="63"/>
      <c r="J90" s="63"/>
      <c r="K90" s="62"/>
      <c r="L90" s="67"/>
      <c r="M90" s="67"/>
      <c r="N90" s="67"/>
      <c r="O90" s="68"/>
      <c r="P90" s="67"/>
      <c r="Q90" s="67"/>
      <c r="R90" s="63"/>
      <c r="S90" s="67"/>
      <c r="T90" s="63"/>
      <c r="U90" s="62"/>
      <c r="V90" s="63"/>
      <c r="W90" s="63"/>
      <c r="X90" s="69"/>
      <c r="Y90" s="63"/>
      <c r="Z90" s="69"/>
      <c r="AA90" s="62"/>
      <c r="AB90" s="63"/>
      <c r="AC90" s="63"/>
      <c r="AD90" s="63"/>
      <c r="AE90" s="63"/>
      <c r="AF90" s="63"/>
      <c r="AG90" s="63"/>
      <c r="AH90" s="63"/>
      <c r="AI90" s="63"/>
      <c r="AJ90" s="63"/>
      <c r="AK90" s="62"/>
      <c r="AL90" s="71">
        <f t="shared" si="95"/>
        <v>0</v>
      </c>
      <c r="AM90" s="71">
        <f t="shared" ca="1" si="137"/>
        <v>122</v>
      </c>
      <c r="AN90" s="63"/>
      <c r="AO90" s="72" t="str">
        <f t="shared" ca="1" si="97"/>
        <v/>
      </c>
      <c r="AP90" s="63"/>
      <c r="AQ90" s="73"/>
      <c r="AR90" s="70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2"/>
      <c r="BE90" s="71">
        <f t="shared" si="144"/>
        <v>0</v>
      </c>
      <c r="BF90" s="71">
        <f t="shared" si="144"/>
        <v>0</v>
      </c>
      <c r="BG90" s="71">
        <f t="shared" si="99"/>
        <v>0</v>
      </c>
      <c r="BH90" s="74" t="str">
        <f t="shared" si="100"/>
        <v xml:space="preserve"> </v>
      </c>
      <c r="BI90" s="75" t="str">
        <f t="shared" si="101"/>
        <v xml:space="preserve"> </v>
      </c>
      <c r="BJ90" s="71">
        <f t="shared" si="102"/>
        <v>0</v>
      </c>
      <c r="BK90" s="75" t="str">
        <f t="shared" si="103"/>
        <v xml:space="preserve"> </v>
      </c>
      <c r="BL90" s="76">
        <f t="shared" si="145"/>
        <v>0</v>
      </c>
      <c r="BM90" s="77">
        <f t="shared" si="145"/>
        <v>0</v>
      </c>
      <c r="BN90" s="78"/>
      <c r="BO90" s="67"/>
      <c r="BP90" s="67"/>
      <c r="BQ90" s="63"/>
      <c r="BR90" s="63"/>
      <c r="BS90" s="74" t="str">
        <f t="shared" si="108"/>
        <v xml:space="preserve"> </v>
      </c>
      <c r="BT90" s="79" t="s">
        <v>221</v>
      </c>
      <c r="BU90" s="79" t="s">
        <v>221</v>
      </c>
      <c r="BV90" s="80">
        <v>0</v>
      </c>
      <c r="BW90" s="81">
        <v>0</v>
      </c>
      <c r="BX90" s="82"/>
      <c r="BY90" s="83"/>
      <c r="BZ90" s="83"/>
      <c r="CA90" s="84"/>
      <c r="CB90" s="84"/>
      <c r="CC90" s="74" t="str">
        <f t="shared" si="109"/>
        <v xml:space="preserve"> </v>
      </c>
      <c r="CD90" s="79" t="s">
        <v>221</v>
      </c>
      <c r="CE90" s="81">
        <v>0</v>
      </c>
      <c r="CF90" s="85"/>
      <c r="CG90" s="85"/>
      <c r="CH90" s="85"/>
      <c r="CI90" s="78"/>
      <c r="CJ90" s="78"/>
      <c r="CK90" s="74" t="str">
        <f t="shared" si="110"/>
        <v xml:space="preserve"> </v>
      </c>
      <c r="CL90" s="79" t="s">
        <v>221</v>
      </c>
      <c r="CM90" s="79" t="s">
        <v>221</v>
      </c>
      <c r="CN90" s="86" t="s">
        <v>221</v>
      </c>
      <c r="CO90" s="81">
        <v>0</v>
      </c>
      <c r="CP90" s="87"/>
      <c r="CQ90" s="83"/>
      <c r="CR90" s="83"/>
      <c r="CS90" s="82"/>
      <c r="CT90" s="82"/>
      <c r="CU90" s="74" t="str">
        <f t="shared" si="111"/>
        <v xml:space="preserve"> </v>
      </c>
      <c r="CV90" s="79" t="s">
        <v>221</v>
      </c>
      <c r="CW90" s="79" t="s">
        <v>221</v>
      </c>
      <c r="CX90" s="88" t="s">
        <v>221</v>
      </c>
      <c r="CY90" s="81">
        <v>0</v>
      </c>
      <c r="CZ90" s="89"/>
      <c r="DA90" s="67"/>
      <c r="DB90" s="67"/>
      <c r="DC90" s="78"/>
      <c r="DD90" s="78"/>
      <c r="DE90" s="74" t="str">
        <f t="shared" si="112"/>
        <v xml:space="preserve"> </v>
      </c>
      <c r="DF90" s="79" t="s">
        <v>221</v>
      </c>
      <c r="DG90" s="79" t="s">
        <v>221</v>
      </c>
      <c r="DH90" s="79" t="s">
        <v>221</v>
      </c>
      <c r="DI90" s="81">
        <v>0</v>
      </c>
      <c r="DJ90" s="87"/>
      <c r="DK90" s="83"/>
      <c r="DL90" s="83"/>
      <c r="DM90" s="82"/>
      <c r="DN90" s="82"/>
      <c r="DO90" s="74" t="str">
        <f t="shared" si="113"/>
        <v xml:space="preserve"> </v>
      </c>
      <c r="DP90" s="79" t="s">
        <v>221</v>
      </c>
      <c r="DQ90" s="79" t="s">
        <v>221</v>
      </c>
      <c r="DR90" s="79" t="s">
        <v>221</v>
      </c>
      <c r="DS90" s="81">
        <v>0</v>
      </c>
      <c r="DT90" s="89"/>
      <c r="DU90" s="67"/>
      <c r="DV90" s="67"/>
      <c r="DW90" s="78"/>
      <c r="DX90" s="78"/>
      <c r="DY90" s="74" t="str">
        <f t="shared" si="114"/>
        <v xml:space="preserve"> </v>
      </c>
      <c r="DZ90" s="94"/>
      <c r="EA90" s="94"/>
      <c r="EB90" s="94"/>
      <c r="EC90" s="94"/>
      <c r="ED90" s="87"/>
      <c r="EE90" s="83"/>
      <c r="EF90" s="83"/>
      <c r="EG90" s="82"/>
      <c r="EH90" s="82"/>
      <c r="EI90" s="74" t="str">
        <f t="shared" si="105"/>
        <v xml:space="preserve"> </v>
      </c>
      <c r="EJ90" s="92"/>
      <c r="EK90" s="92"/>
      <c r="EL90" s="92"/>
      <c r="EM90" s="92"/>
      <c r="EN90" s="89"/>
      <c r="EO90" s="67"/>
      <c r="EP90" s="67"/>
      <c r="EQ90" s="78"/>
      <c r="ER90" s="78"/>
      <c r="ES90" s="74" t="str">
        <f t="shared" si="106"/>
        <v xml:space="preserve"> </v>
      </c>
      <c r="ET90" s="94"/>
      <c r="EU90" s="94"/>
      <c r="EV90" s="94">
        <v>0</v>
      </c>
      <c r="EW90" s="76">
        <v>0</v>
      </c>
      <c r="EX90" s="87"/>
      <c r="EY90" s="83"/>
      <c r="EZ90" s="83"/>
      <c r="FA90" s="82"/>
      <c r="FB90" s="82"/>
      <c r="FC90" s="74" t="str">
        <f t="shared" si="115"/>
        <v xml:space="preserve"> </v>
      </c>
      <c r="FD90" s="92"/>
      <c r="FE90" s="92"/>
      <c r="FF90" s="92"/>
      <c r="FG90" s="92"/>
      <c r="FH90" s="76">
        <f t="shared" si="116"/>
        <v>0</v>
      </c>
      <c r="FI90" s="89"/>
      <c r="FJ90" s="67"/>
      <c r="FK90" s="67"/>
      <c r="FL90" s="78"/>
      <c r="FM90" s="78"/>
      <c r="FN90" s="74" t="str">
        <f t="shared" si="117"/>
        <v xml:space="preserve"> </v>
      </c>
      <c r="FO90" s="94"/>
      <c r="FP90" s="94"/>
      <c r="FQ90" s="94"/>
      <c r="FR90" s="94"/>
      <c r="FS90" s="76">
        <f t="shared" si="118"/>
        <v>0</v>
      </c>
      <c r="FT90" s="87"/>
      <c r="FU90" s="83"/>
      <c r="FV90" s="83"/>
      <c r="FW90" s="82"/>
      <c r="FX90" s="82"/>
      <c r="FY90" s="74" t="str">
        <f t="shared" si="119"/>
        <v xml:space="preserve"> </v>
      </c>
      <c r="FZ90" s="92"/>
      <c r="GA90" s="92"/>
      <c r="GB90" s="92"/>
      <c r="GC90" s="92"/>
      <c r="GD90" s="76">
        <f t="shared" si="120"/>
        <v>0</v>
      </c>
      <c r="GE90" s="62"/>
      <c r="GF90" s="96" t="s">
        <v>221</v>
      </c>
      <c r="GG90" s="96" t="s">
        <v>221</v>
      </c>
      <c r="GH90" s="63"/>
      <c r="GI90" s="63"/>
      <c r="GJ90" s="63"/>
      <c r="GK90" s="97">
        <f t="shared" si="146"/>
        <v>0</v>
      </c>
      <c r="GL90" s="98"/>
      <c r="GM90" s="98"/>
      <c r="GN90" s="97">
        <f t="shared" si="121"/>
        <v>0</v>
      </c>
      <c r="GO90" s="97" t="str">
        <f t="shared" si="122"/>
        <v xml:space="preserve"> </v>
      </c>
      <c r="GP90" s="62"/>
      <c r="GQ90" s="63"/>
      <c r="GR90" s="63"/>
      <c r="GS90" s="63"/>
      <c r="GT90" s="63"/>
      <c r="GU90" s="63"/>
      <c r="GV90" s="63"/>
      <c r="GW90" s="63"/>
      <c r="GX90" s="63"/>
      <c r="GY90" s="65" t="str">
        <f t="shared" si="138"/>
        <v/>
      </c>
      <c r="GZ90" s="65" t="str">
        <f t="shared" si="139"/>
        <v/>
      </c>
      <c r="HA90" s="63"/>
      <c r="HB90" s="63"/>
      <c r="HC90" s="63"/>
      <c r="HD90" s="63"/>
      <c r="HE90" s="63"/>
      <c r="HF90" s="63"/>
      <c r="HG90" s="63"/>
      <c r="HH90" s="63"/>
      <c r="HI90" s="63"/>
      <c r="HJ90" s="63"/>
      <c r="HK90" s="63"/>
      <c r="HL90" s="65" t="str">
        <f t="shared" si="140"/>
        <v/>
      </c>
      <c r="HM90" s="65" t="str">
        <f t="shared" si="124"/>
        <v/>
      </c>
      <c r="HN90" s="65" t="str">
        <f t="shared" si="141"/>
        <v/>
      </c>
      <c r="HO90" s="65" t="str">
        <f t="shared" si="142"/>
        <v/>
      </c>
      <c r="HP90" s="99" t="str">
        <f t="shared" si="130"/>
        <v/>
      </c>
      <c r="HQ90" s="99" t="str">
        <f t="shared" si="143"/>
        <v/>
      </c>
      <c r="HR90" s="63"/>
      <c r="HS90" s="63"/>
      <c r="HT90" s="63"/>
      <c r="HU90" s="63"/>
      <c r="HV90" s="63"/>
      <c r="HW90" s="63"/>
      <c r="HX90" s="63"/>
      <c r="HY90" s="63"/>
      <c r="HZ90" s="63"/>
      <c r="IA90" s="63"/>
      <c r="IB90" s="63"/>
      <c r="IC90" s="63"/>
      <c r="ID90" s="63"/>
      <c r="IE90" s="63"/>
      <c r="IF90" s="63"/>
      <c r="IG90" s="63"/>
      <c r="IH90" s="63"/>
      <c r="II90" s="63"/>
      <c r="IJ90" s="63"/>
      <c r="IK90" s="63"/>
      <c r="IL90" s="63"/>
      <c r="IM90" s="62"/>
      <c r="IN90" s="101"/>
      <c r="IO90" s="101"/>
      <c r="IP90" s="63"/>
      <c r="IQ90" s="63"/>
      <c r="IR90" s="63"/>
      <c r="IS90" s="63"/>
      <c r="IT90" s="63"/>
      <c r="IU90" s="63"/>
      <c r="IV90" s="63"/>
      <c r="IW90" s="63"/>
      <c r="IX90" s="63"/>
      <c r="IY90" s="63"/>
      <c r="IZ90" s="63"/>
      <c r="JA90" s="65">
        <f t="shared" si="107"/>
        <v>0</v>
      </c>
      <c r="JB90" s="63"/>
      <c r="JC90" s="101"/>
      <c r="JD90" s="101"/>
      <c r="JE90" s="63"/>
      <c r="JF90" s="63"/>
      <c r="JG90" s="63"/>
      <c r="JH90" s="63"/>
      <c r="JI90" s="63"/>
      <c r="JJ90" s="63"/>
      <c r="JK90" s="63"/>
      <c r="JL90" s="63"/>
      <c r="JM90" s="63"/>
      <c r="JN90" s="63"/>
      <c r="JO90" s="63"/>
      <c r="JP90" s="65">
        <f t="shared" si="133"/>
        <v>0</v>
      </c>
      <c r="JQ90" s="63"/>
      <c r="LM90" s="205"/>
      <c r="LN90" s="102">
        <f>IFERROR(ROWS($IL$8:IL90)," ")</f>
        <v>83</v>
      </c>
      <c r="LO90" s="103" t="str">
        <f>IFERROR(IF([1]Checklist!$C$3='GenInfo (2)'!E90,'GenInfo (2)'!LN90," ")," ")</f>
        <v xml:space="preserve"> </v>
      </c>
      <c r="LP90" s="104" t="str">
        <f>IFERROR(SMALL($LO$8:$LO$94,ROWS($IL$8:IL90))," ")</f>
        <v xml:space="preserve"> </v>
      </c>
      <c r="LQ90" s="102">
        <f>IFERROR(ROWS($IL$8:IL90)," ")</f>
        <v>83</v>
      </c>
      <c r="LR90" s="103" t="str">
        <f>IFERROR(IF([1]Checklist!$C$4='GenInfo (2)'!E90,'GenInfo (2)'!LQ90," ")," ")</f>
        <v xml:space="preserve"> </v>
      </c>
      <c r="LS90" s="104" t="str">
        <f>IFERROR(SMALL($LR$8:$LR$94,ROWS($IL$8:IL90))," ")</f>
        <v xml:space="preserve"> </v>
      </c>
      <c r="LT90" s="102">
        <f>IFERROR(ROWS($IL$8:IL90)," ")</f>
        <v>83</v>
      </c>
      <c r="LU90" s="103" t="str">
        <f>IFERROR(IF([1]Checklist!$C$5='GenInfo (2)'!E90,'GenInfo (2)'!LT90," ")," ")</f>
        <v xml:space="preserve"> </v>
      </c>
      <c r="LV90" s="104" t="str">
        <f>IFERROR(SMALL($LU$8:$LU$94,ROWS($IL$8:IL90))," ")</f>
        <v xml:space="preserve"> </v>
      </c>
      <c r="LW90" s="102">
        <f>IFERROR(ROWS($IL$8:IL90)," ")</f>
        <v>83</v>
      </c>
      <c r="LX90" s="103" t="str">
        <f>IFERROR(IF([1]Checklist!$C$6='GenInfo (2)'!E90,'GenInfo (2)'!LW90," ")," ")</f>
        <v xml:space="preserve"> </v>
      </c>
      <c r="LY90" s="104" t="str">
        <f>IFERROR(SMALL($LX$8:$LX$94,ROWS($IL$8:IL90))," ")</f>
        <v xml:space="preserve"> </v>
      </c>
      <c r="LZ90" s="102">
        <f>IFERROR(ROWS($IL$8:IL90)," ")</f>
        <v>83</v>
      </c>
      <c r="MA90" s="103" t="str">
        <f>IFERROR(IF([1]Checklist!$C$7='GenInfo (2)'!E90,'GenInfo (2)'!LZ90," ")," ")</f>
        <v xml:space="preserve"> </v>
      </c>
      <c r="MB90" s="104" t="str">
        <f>IFERROR(SMALL($MA$8:$MA$94,ROWS($IL$8:IL90))," ")</f>
        <v xml:space="preserve"> </v>
      </c>
      <c r="MC90" s="102">
        <f>IFERROR(ROWS($IL$8:IL90)," ")</f>
        <v>83</v>
      </c>
      <c r="MD90" s="103" t="str">
        <f>IFERROR(IF([1]Checklist!$C$8='GenInfo (2)'!E90,'GenInfo (2)'!MC90," ")," ")</f>
        <v xml:space="preserve"> </v>
      </c>
      <c r="ME90" s="104" t="str">
        <f>IFERROR(SMALL($MD$8:$MD$94,ROWS($IL$8:IL90))," ")</f>
        <v xml:space="preserve"> </v>
      </c>
      <c r="MF90" s="102">
        <f>IFERROR(ROWS($IL$8:IL90)," ")</f>
        <v>83</v>
      </c>
      <c r="MG90" s="103" t="str">
        <f>IFERROR(IF([1]Checklist!$C$9='GenInfo (2)'!E90,'GenInfo (2)'!MF90," ")," ")</f>
        <v xml:space="preserve"> </v>
      </c>
      <c r="MH90" s="104" t="str">
        <f>IFERROR(SMALL($MG$8:$MG$94,ROWS($IL$8:IL90))," ")</f>
        <v xml:space="preserve"> </v>
      </c>
      <c r="MI90" s="102">
        <f>IFERROR(ROWS($IL$8:$IL90)," ")</f>
        <v>83</v>
      </c>
      <c r="MJ90" s="103" t="str">
        <f>IFERROR(IF([1]Checklist!$C$10='GenInfo (2)'!E90,'GenInfo (2)'!MI90," ")," ")</f>
        <v xml:space="preserve"> </v>
      </c>
      <c r="MK90" s="104" t="str">
        <f>IFERROR(SMALL($MJ$8:$MJ$94,ROWS($IL$8:IL90))," ")</f>
        <v xml:space="preserve"> </v>
      </c>
      <c r="ML90" s="102">
        <f>IFERROR(ROWS($IL$8:IL90)," ")</f>
        <v>83</v>
      </c>
      <c r="MM90" s="103" t="str">
        <f>IFERROR(IF([1]Checklist!$C$11='GenInfo (2)'!E90,'GenInfo (2)'!ML90," ")," ")</f>
        <v xml:space="preserve"> </v>
      </c>
      <c r="MN90" s="104" t="str">
        <f>IFERROR(SMALL($MM$8:$MM$94,ROWS($IL$8:IL90))," ")</f>
        <v xml:space="preserve"> </v>
      </c>
      <c r="MO90" s="102">
        <f>IFERROR(ROWS($IL$8:IL90)," ")</f>
        <v>83</v>
      </c>
      <c r="MP90" s="103" t="str">
        <f>IFERROR(IF([1]Checklist!$C$12='GenInfo (2)'!E90,'GenInfo (2)'!MO90," ")," ")</f>
        <v xml:space="preserve"> </v>
      </c>
      <c r="MQ90" s="104" t="str">
        <f>IFERROR(SMALL($MP$8:$MP$94,ROWS($IL$8:IL90))," ")</f>
        <v xml:space="preserve"> </v>
      </c>
      <c r="MR90" s="102">
        <f>IFERROR(ROWS($IL$8:IL90)," ")</f>
        <v>83</v>
      </c>
      <c r="MS90" s="103" t="str">
        <f>IFERROR(IF([1]Checklist!$C$13='GenInfo (2)'!E90,'GenInfo (2)'!MR90," ")," ")</f>
        <v xml:space="preserve"> </v>
      </c>
      <c r="MT90" s="104" t="str">
        <f>IFERROR(SMALL($MS$8:$MS$94,ROWS($IL$8:IL90))," ")</f>
        <v xml:space="preserve"> </v>
      </c>
      <c r="MU90" s="102">
        <f>IFERROR(ROWS($IL$8:IL90)," ")</f>
        <v>83</v>
      </c>
      <c r="MV90" s="103" t="str">
        <f>IFERROR(IF([1]Checklist!$C$14='GenInfo (2)'!E90,'GenInfo (2)'!MU90," ")," ")</f>
        <v xml:space="preserve"> </v>
      </c>
      <c r="MW90" s="104" t="str">
        <f>IFERROR(SMALL($MV$8:$MV$94,ROWS($IL$8:IL90))," ")</f>
        <v xml:space="preserve"> </v>
      </c>
      <c r="MX90" s="102">
        <f>IFERROR(ROWS($IL$8:IL90)," ")</f>
        <v>83</v>
      </c>
      <c r="MY90" s="103" t="str">
        <f>IFERROR(IF([1]Checklist!$C$15='GenInfo (2)'!E90,'GenInfo (2)'!MX90," ")," ")</f>
        <v xml:space="preserve"> </v>
      </c>
      <c r="MZ90" s="104" t="str">
        <f>IFERROR(SMALL($MY$8:$MY$94,ROWS($IL$8:IL90))," ")</f>
        <v xml:space="preserve"> </v>
      </c>
      <c r="NA90" s="102">
        <f>IFERROR(ROWS($IL$8:IL90)," ")</f>
        <v>83</v>
      </c>
      <c r="NB90" s="103" t="str">
        <f>IFERROR(IF([1]Checklist!$C$16='GenInfo (2)'!E90,'GenInfo (2)'!NA90," ")," ")</f>
        <v xml:space="preserve"> </v>
      </c>
      <c r="NC90" s="104" t="str">
        <f>IFERROR(SMALL($NB$8:$NB$94,ROWS($IL$8:IL90))," ")</f>
        <v xml:space="preserve"> </v>
      </c>
      <c r="ND90" s="102">
        <f>IFERROR(ROWS($IL$8:IL90)," ")</f>
        <v>83</v>
      </c>
      <c r="NE90" s="103" t="str">
        <f>IFERROR(IF([1]Checklist!$C$17='GenInfo (2)'!E90,'GenInfo (2)'!ND90," ")," ")</f>
        <v xml:space="preserve"> </v>
      </c>
      <c r="NF90" s="104" t="str">
        <f>IFERROR(SMALL($NE$8:$NE$94,ROWS($IL$8:IL90))," ")</f>
        <v xml:space="preserve"> </v>
      </c>
    </row>
    <row r="91" spans="5:370" ht="14.25" x14ac:dyDescent="0.45">
      <c r="E91" s="64"/>
      <c r="F91" s="63"/>
      <c r="G91" s="64"/>
      <c r="H91" s="63"/>
      <c r="I91" s="63"/>
      <c r="J91" s="63"/>
      <c r="K91" s="62"/>
      <c r="L91" s="67"/>
      <c r="M91" s="67"/>
      <c r="N91" s="67"/>
      <c r="O91" s="68"/>
      <c r="P91" s="67"/>
      <c r="Q91" s="67"/>
      <c r="R91" s="63"/>
      <c r="S91" s="67"/>
      <c r="T91" s="63"/>
      <c r="U91" s="62"/>
      <c r="V91" s="63"/>
      <c r="W91" s="63"/>
      <c r="X91" s="69"/>
      <c r="Y91" s="63"/>
      <c r="Z91" s="69"/>
      <c r="AA91" s="62"/>
      <c r="AB91" s="63"/>
      <c r="AC91" s="63"/>
      <c r="AD91" s="63"/>
      <c r="AE91" s="63"/>
      <c r="AF91" s="63"/>
      <c r="AG91" s="63"/>
      <c r="AH91" s="63"/>
      <c r="AI91" s="63"/>
      <c r="AJ91" s="63"/>
      <c r="AK91" s="62"/>
      <c r="AL91" s="71">
        <f t="shared" si="95"/>
        <v>0</v>
      </c>
      <c r="AM91" s="71">
        <f t="shared" ca="1" si="137"/>
        <v>122</v>
      </c>
      <c r="AN91" s="63"/>
      <c r="AO91" s="72" t="str">
        <f t="shared" ca="1" si="97"/>
        <v/>
      </c>
      <c r="AP91" s="63"/>
      <c r="AQ91" s="73"/>
      <c r="AR91" s="70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2"/>
      <c r="BE91" s="71">
        <f t="shared" si="144"/>
        <v>0</v>
      </c>
      <c r="BF91" s="71">
        <f t="shared" si="144"/>
        <v>0</v>
      </c>
      <c r="BG91" s="71">
        <f t="shared" si="99"/>
        <v>0</v>
      </c>
      <c r="BH91" s="74" t="str">
        <f t="shared" si="100"/>
        <v xml:space="preserve"> </v>
      </c>
      <c r="BI91" s="75" t="str">
        <f t="shared" si="101"/>
        <v xml:space="preserve"> </v>
      </c>
      <c r="BJ91" s="71">
        <f t="shared" si="102"/>
        <v>0</v>
      </c>
      <c r="BK91" s="75" t="str">
        <f t="shared" si="103"/>
        <v xml:space="preserve"> </v>
      </c>
      <c r="BL91" s="76">
        <f t="shared" si="145"/>
        <v>0</v>
      </c>
      <c r="BM91" s="77">
        <f t="shared" si="145"/>
        <v>0</v>
      </c>
      <c r="BN91" s="78"/>
      <c r="BO91" s="67"/>
      <c r="BP91" s="67"/>
      <c r="BQ91" s="63"/>
      <c r="BR91" s="63"/>
      <c r="BS91" s="74" t="str">
        <f t="shared" si="108"/>
        <v xml:space="preserve"> </v>
      </c>
      <c r="BT91" s="79" t="s">
        <v>221</v>
      </c>
      <c r="BU91" s="79" t="s">
        <v>221</v>
      </c>
      <c r="BV91" s="80">
        <v>0</v>
      </c>
      <c r="BW91" s="81">
        <v>0</v>
      </c>
      <c r="BX91" s="82"/>
      <c r="BY91" s="83"/>
      <c r="BZ91" s="83"/>
      <c r="CA91" s="84"/>
      <c r="CB91" s="84"/>
      <c r="CC91" s="74" t="str">
        <f t="shared" si="109"/>
        <v xml:space="preserve"> </v>
      </c>
      <c r="CD91" s="79" t="s">
        <v>221</v>
      </c>
      <c r="CE91" s="81">
        <v>0</v>
      </c>
      <c r="CF91" s="85"/>
      <c r="CG91" s="85"/>
      <c r="CH91" s="85"/>
      <c r="CI91" s="78"/>
      <c r="CJ91" s="78"/>
      <c r="CK91" s="74" t="str">
        <f t="shared" si="110"/>
        <v xml:space="preserve"> </v>
      </c>
      <c r="CL91" s="79" t="s">
        <v>221</v>
      </c>
      <c r="CM91" s="79" t="s">
        <v>221</v>
      </c>
      <c r="CN91" s="86" t="s">
        <v>221</v>
      </c>
      <c r="CO91" s="81">
        <v>0</v>
      </c>
      <c r="CP91" s="87"/>
      <c r="CQ91" s="83"/>
      <c r="CR91" s="83"/>
      <c r="CS91" s="82"/>
      <c r="CT91" s="82"/>
      <c r="CU91" s="74" t="str">
        <f t="shared" si="111"/>
        <v xml:space="preserve"> </v>
      </c>
      <c r="CV91" s="79" t="s">
        <v>221</v>
      </c>
      <c r="CW91" s="79" t="s">
        <v>221</v>
      </c>
      <c r="CX91" s="88" t="s">
        <v>221</v>
      </c>
      <c r="CY91" s="81">
        <v>0</v>
      </c>
      <c r="CZ91" s="89"/>
      <c r="DA91" s="67"/>
      <c r="DB91" s="67"/>
      <c r="DC91" s="78"/>
      <c r="DD91" s="78"/>
      <c r="DE91" s="74" t="str">
        <f t="shared" si="112"/>
        <v xml:space="preserve"> </v>
      </c>
      <c r="DF91" s="79" t="s">
        <v>221</v>
      </c>
      <c r="DG91" s="79" t="s">
        <v>221</v>
      </c>
      <c r="DH91" s="79" t="s">
        <v>221</v>
      </c>
      <c r="DI91" s="81">
        <v>0</v>
      </c>
      <c r="DJ91" s="87"/>
      <c r="DK91" s="83"/>
      <c r="DL91" s="83"/>
      <c r="DM91" s="82"/>
      <c r="DN91" s="82"/>
      <c r="DO91" s="74" t="str">
        <f t="shared" si="113"/>
        <v xml:space="preserve"> </v>
      </c>
      <c r="DP91" s="79" t="s">
        <v>221</v>
      </c>
      <c r="DQ91" s="79" t="s">
        <v>221</v>
      </c>
      <c r="DR91" s="79" t="s">
        <v>221</v>
      </c>
      <c r="DS91" s="81">
        <v>0</v>
      </c>
      <c r="DT91" s="89"/>
      <c r="DU91" s="67"/>
      <c r="DV91" s="67"/>
      <c r="DW91" s="78"/>
      <c r="DX91" s="78"/>
      <c r="DY91" s="74" t="str">
        <f t="shared" si="114"/>
        <v xml:space="preserve"> </v>
      </c>
      <c r="DZ91" s="94"/>
      <c r="EA91" s="94"/>
      <c r="EB91" s="94"/>
      <c r="EC91" s="94"/>
      <c r="ED91" s="87"/>
      <c r="EE91" s="83"/>
      <c r="EF91" s="83"/>
      <c r="EG91" s="82"/>
      <c r="EH91" s="82"/>
      <c r="EI91" s="74" t="str">
        <f t="shared" si="105"/>
        <v xml:space="preserve"> </v>
      </c>
      <c r="EJ91" s="92"/>
      <c r="EK91" s="92"/>
      <c r="EL91" s="92"/>
      <c r="EM91" s="92"/>
      <c r="EN91" s="89"/>
      <c r="EO91" s="67"/>
      <c r="EP91" s="67"/>
      <c r="EQ91" s="78"/>
      <c r="ER91" s="78"/>
      <c r="ES91" s="74" t="str">
        <f t="shared" si="106"/>
        <v xml:space="preserve"> </v>
      </c>
      <c r="ET91" s="94"/>
      <c r="EU91" s="94"/>
      <c r="EV91" s="94">
        <v>0</v>
      </c>
      <c r="EW91" s="76">
        <v>0</v>
      </c>
      <c r="EX91" s="87"/>
      <c r="EY91" s="83"/>
      <c r="EZ91" s="83"/>
      <c r="FA91" s="82"/>
      <c r="FB91" s="82"/>
      <c r="FC91" s="74" t="str">
        <f t="shared" si="115"/>
        <v xml:space="preserve"> </v>
      </c>
      <c r="FD91" s="92"/>
      <c r="FE91" s="92"/>
      <c r="FF91" s="92"/>
      <c r="FG91" s="92"/>
      <c r="FH91" s="76">
        <f t="shared" si="116"/>
        <v>0</v>
      </c>
      <c r="FI91" s="89"/>
      <c r="FJ91" s="67"/>
      <c r="FK91" s="67"/>
      <c r="FL91" s="78"/>
      <c r="FM91" s="78"/>
      <c r="FN91" s="74" t="str">
        <f t="shared" si="117"/>
        <v xml:space="preserve"> </v>
      </c>
      <c r="FO91" s="94"/>
      <c r="FP91" s="94"/>
      <c r="FQ91" s="94"/>
      <c r="FR91" s="94"/>
      <c r="FS91" s="76">
        <f t="shared" si="118"/>
        <v>0</v>
      </c>
      <c r="FT91" s="87"/>
      <c r="FU91" s="83"/>
      <c r="FV91" s="83"/>
      <c r="FW91" s="82"/>
      <c r="FX91" s="82"/>
      <c r="FY91" s="74" t="str">
        <f t="shared" si="119"/>
        <v xml:space="preserve"> </v>
      </c>
      <c r="FZ91" s="92"/>
      <c r="GA91" s="92"/>
      <c r="GB91" s="92"/>
      <c r="GC91" s="92"/>
      <c r="GD91" s="76">
        <f t="shared" si="120"/>
        <v>0</v>
      </c>
      <c r="GE91" s="62"/>
      <c r="GF91" s="96" t="s">
        <v>221</v>
      </c>
      <c r="GG91" s="96" t="s">
        <v>221</v>
      </c>
      <c r="GH91" s="63"/>
      <c r="GI91" s="63"/>
      <c r="GJ91" s="63"/>
      <c r="GK91" s="97">
        <f t="shared" si="146"/>
        <v>0</v>
      </c>
      <c r="GL91" s="98"/>
      <c r="GM91" s="98"/>
      <c r="GN91" s="97">
        <f t="shared" si="121"/>
        <v>0</v>
      </c>
      <c r="GO91" s="97" t="str">
        <f t="shared" si="122"/>
        <v xml:space="preserve"> </v>
      </c>
      <c r="GP91" s="62"/>
      <c r="GQ91" s="63"/>
      <c r="GR91" s="63"/>
      <c r="GS91" s="63"/>
      <c r="GT91" s="63"/>
      <c r="GU91" s="63"/>
      <c r="GV91" s="63"/>
      <c r="GW91" s="63"/>
      <c r="GX91" s="63"/>
      <c r="GY91" s="65" t="str">
        <f t="shared" si="138"/>
        <v/>
      </c>
      <c r="GZ91" s="65" t="str">
        <f t="shared" si="139"/>
        <v/>
      </c>
      <c r="HA91" s="63"/>
      <c r="HB91" s="63"/>
      <c r="HC91" s="63"/>
      <c r="HD91" s="63"/>
      <c r="HE91" s="63"/>
      <c r="HF91" s="63"/>
      <c r="HG91" s="63"/>
      <c r="HH91" s="63"/>
      <c r="HI91" s="63"/>
      <c r="HJ91" s="63"/>
      <c r="HK91" s="63"/>
      <c r="HL91" s="65" t="str">
        <f t="shared" si="140"/>
        <v/>
      </c>
      <c r="HM91" s="65" t="str">
        <f t="shared" si="124"/>
        <v/>
      </c>
      <c r="HN91" s="65" t="str">
        <f t="shared" si="141"/>
        <v/>
      </c>
      <c r="HO91" s="65" t="str">
        <f t="shared" si="142"/>
        <v/>
      </c>
      <c r="HP91" s="99" t="str">
        <f t="shared" si="130"/>
        <v/>
      </c>
      <c r="HQ91" s="99" t="str">
        <f t="shared" si="143"/>
        <v/>
      </c>
      <c r="HR91" s="63"/>
      <c r="HS91" s="63"/>
      <c r="HT91" s="63"/>
      <c r="HU91" s="63"/>
      <c r="HV91" s="63"/>
      <c r="HW91" s="63"/>
      <c r="HX91" s="63"/>
      <c r="HY91" s="63"/>
      <c r="HZ91" s="63"/>
      <c r="IA91" s="63"/>
      <c r="IB91" s="63"/>
      <c r="IC91" s="63"/>
      <c r="ID91" s="63"/>
      <c r="IE91" s="63"/>
      <c r="IF91" s="63"/>
      <c r="IG91" s="63"/>
      <c r="IH91" s="63"/>
      <c r="II91" s="63"/>
      <c r="IJ91" s="63"/>
      <c r="IK91" s="63"/>
      <c r="IL91" s="63"/>
      <c r="IM91" s="62"/>
      <c r="IN91" s="101"/>
      <c r="IO91" s="101"/>
      <c r="IP91" s="63"/>
      <c r="IQ91" s="63"/>
      <c r="IR91" s="63"/>
      <c r="IS91" s="63"/>
      <c r="IT91" s="63"/>
      <c r="IU91" s="63"/>
      <c r="IV91" s="63"/>
      <c r="IW91" s="63"/>
      <c r="IX91" s="63"/>
      <c r="IY91" s="63"/>
      <c r="IZ91" s="63"/>
      <c r="JA91" s="65">
        <f t="shared" si="107"/>
        <v>0</v>
      </c>
      <c r="JB91" s="63"/>
      <c r="JC91" s="101"/>
      <c r="JD91" s="101"/>
      <c r="JE91" s="63"/>
      <c r="JF91" s="63"/>
      <c r="JG91" s="63"/>
      <c r="JH91" s="63"/>
      <c r="JI91" s="63"/>
      <c r="JJ91" s="63"/>
      <c r="JK91" s="63"/>
      <c r="JL91" s="63"/>
      <c r="JM91" s="63"/>
      <c r="JN91" s="63"/>
      <c r="JO91" s="63"/>
      <c r="JP91" s="65">
        <f t="shared" si="133"/>
        <v>0</v>
      </c>
      <c r="JQ91" s="63"/>
      <c r="LM91" s="205"/>
      <c r="LN91" s="102">
        <f>IFERROR(ROWS($IL$8:IL91)," ")</f>
        <v>84</v>
      </c>
      <c r="LO91" s="103" t="str">
        <f>IFERROR(IF([1]Checklist!$C$3='GenInfo (2)'!E91,'GenInfo (2)'!LN91," ")," ")</f>
        <v xml:space="preserve"> </v>
      </c>
      <c r="LP91" s="104" t="str">
        <f>IFERROR(SMALL($LO$8:$LO$94,ROWS($IL$8:IL91))," ")</f>
        <v xml:space="preserve"> </v>
      </c>
      <c r="LQ91" s="102">
        <f>IFERROR(ROWS($IL$8:IL91)," ")</f>
        <v>84</v>
      </c>
      <c r="LR91" s="103" t="str">
        <f>IFERROR(IF([1]Checklist!$C$4='GenInfo (2)'!E91,'GenInfo (2)'!LQ91," ")," ")</f>
        <v xml:space="preserve"> </v>
      </c>
      <c r="LS91" s="104" t="str">
        <f>IFERROR(SMALL($LR$8:$LR$94,ROWS($IL$8:IL91))," ")</f>
        <v xml:space="preserve"> </v>
      </c>
      <c r="LT91" s="102">
        <f>IFERROR(ROWS($IL$8:IL91)," ")</f>
        <v>84</v>
      </c>
      <c r="LU91" s="103" t="str">
        <f>IFERROR(IF([1]Checklist!$C$5='GenInfo (2)'!E91,'GenInfo (2)'!LT91," ")," ")</f>
        <v xml:space="preserve"> </v>
      </c>
      <c r="LV91" s="104" t="str">
        <f>IFERROR(SMALL($LU$8:$LU$94,ROWS($IL$8:IL91))," ")</f>
        <v xml:space="preserve"> </v>
      </c>
      <c r="LW91" s="102">
        <f>IFERROR(ROWS($IL$8:IL91)," ")</f>
        <v>84</v>
      </c>
      <c r="LX91" s="103" t="str">
        <f>IFERROR(IF([1]Checklist!$C$6='GenInfo (2)'!E91,'GenInfo (2)'!LW91," ")," ")</f>
        <v xml:space="preserve"> </v>
      </c>
      <c r="LY91" s="104" t="str">
        <f>IFERROR(SMALL($LX$8:$LX$94,ROWS($IL$8:IL91))," ")</f>
        <v xml:space="preserve"> </v>
      </c>
      <c r="LZ91" s="102">
        <f>IFERROR(ROWS($IL$8:IL91)," ")</f>
        <v>84</v>
      </c>
      <c r="MA91" s="103" t="str">
        <f>IFERROR(IF([1]Checklist!$C$7='GenInfo (2)'!E91,'GenInfo (2)'!LZ91," ")," ")</f>
        <v xml:space="preserve"> </v>
      </c>
      <c r="MB91" s="104" t="str">
        <f>IFERROR(SMALL($MA$8:$MA$94,ROWS($IL$8:IL91))," ")</f>
        <v xml:space="preserve"> </v>
      </c>
      <c r="MC91" s="102">
        <f>IFERROR(ROWS($IL$8:IL91)," ")</f>
        <v>84</v>
      </c>
      <c r="MD91" s="103" t="str">
        <f>IFERROR(IF([1]Checklist!$C$8='GenInfo (2)'!E91,'GenInfo (2)'!MC91," ")," ")</f>
        <v xml:space="preserve"> </v>
      </c>
      <c r="ME91" s="104" t="str">
        <f>IFERROR(SMALL($MD$8:$MD$94,ROWS($IL$8:IL91))," ")</f>
        <v xml:space="preserve"> </v>
      </c>
      <c r="MF91" s="102">
        <f>IFERROR(ROWS($IL$8:IL91)," ")</f>
        <v>84</v>
      </c>
      <c r="MG91" s="103" t="str">
        <f>IFERROR(IF([1]Checklist!$C$9='GenInfo (2)'!E91,'GenInfo (2)'!MF91," ")," ")</f>
        <v xml:space="preserve"> </v>
      </c>
      <c r="MH91" s="104" t="str">
        <f>IFERROR(SMALL($MG$8:$MG$94,ROWS($IL$8:IL91))," ")</f>
        <v xml:space="preserve"> </v>
      </c>
      <c r="MI91" s="102">
        <f>IFERROR(ROWS($IL$8:$IL91)," ")</f>
        <v>84</v>
      </c>
      <c r="MJ91" s="103" t="str">
        <f>IFERROR(IF([1]Checklist!$C$10='GenInfo (2)'!E91,'GenInfo (2)'!MI91," ")," ")</f>
        <v xml:space="preserve"> </v>
      </c>
      <c r="MK91" s="104" t="str">
        <f>IFERROR(SMALL($MJ$8:$MJ$94,ROWS($IL$8:IL91))," ")</f>
        <v xml:space="preserve"> </v>
      </c>
      <c r="ML91" s="102">
        <f>IFERROR(ROWS($IL$8:IL91)," ")</f>
        <v>84</v>
      </c>
      <c r="MM91" s="103" t="str">
        <f>IFERROR(IF([1]Checklist!$C$11='GenInfo (2)'!E91,'GenInfo (2)'!ML91," ")," ")</f>
        <v xml:space="preserve"> </v>
      </c>
      <c r="MN91" s="104" t="str">
        <f>IFERROR(SMALL($MM$8:$MM$94,ROWS($IL$8:IL91))," ")</f>
        <v xml:space="preserve"> </v>
      </c>
      <c r="MO91" s="102">
        <f>IFERROR(ROWS($IL$8:IL91)," ")</f>
        <v>84</v>
      </c>
      <c r="MP91" s="103" t="str">
        <f>IFERROR(IF([1]Checklist!$C$12='GenInfo (2)'!E91,'GenInfo (2)'!MO91," ")," ")</f>
        <v xml:space="preserve"> </v>
      </c>
      <c r="MQ91" s="104" t="str">
        <f>IFERROR(SMALL($MP$8:$MP$94,ROWS($IL$8:IL91))," ")</f>
        <v xml:space="preserve"> </v>
      </c>
      <c r="MR91" s="102">
        <f>IFERROR(ROWS($IL$8:IL91)," ")</f>
        <v>84</v>
      </c>
      <c r="MS91" s="103" t="str">
        <f>IFERROR(IF([1]Checklist!$C$13='GenInfo (2)'!E91,'GenInfo (2)'!MR91," ")," ")</f>
        <v xml:space="preserve"> </v>
      </c>
      <c r="MT91" s="104" t="str">
        <f>IFERROR(SMALL($MS$8:$MS$94,ROWS($IL$8:IL91))," ")</f>
        <v xml:space="preserve"> </v>
      </c>
      <c r="MU91" s="102">
        <f>IFERROR(ROWS($IL$8:IL91)," ")</f>
        <v>84</v>
      </c>
      <c r="MV91" s="103" t="str">
        <f>IFERROR(IF([1]Checklist!$C$14='GenInfo (2)'!E91,'GenInfo (2)'!MU91," ")," ")</f>
        <v xml:space="preserve"> </v>
      </c>
      <c r="MW91" s="104" t="str">
        <f>IFERROR(SMALL($MV$8:$MV$94,ROWS($IL$8:IL91))," ")</f>
        <v xml:space="preserve"> </v>
      </c>
      <c r="MX91" s="102">
        <f>IFERROR(ROWS($IL$8:IL91)," ")</f>
        <v>84</v>
      </c>
      <c r="MY91" s="103" t="str">
        <f>IFERROR(IF([1]Checklist!$C$15='GenInfo (2)'!E91,'GenInfo (2)'!MX91," ")," ")</f>
        <v xml:space="preserve"> </v>
      </c>
      <c r="MZ91" s="104" t="str">
        <f>IFERROR(SMALL($MY$8:$MY$94,ROWS($IL$8:IL91))," ")</f>
        <v xml:space="preserve"> </v>
      </c>
      <c r="NA91" s="102">
        <f>IFERROR(ROWS($IL$8:IL91)," ")</f>
        <v>84</v>
      </c>
      <c r="NB91" s="103" t="str">
        <f>IFERROR(IF([1]Checklist!$C$16='GenInfo (2)'!E91,'GenInfo (2)'!NA91," ")," ")</f>
        <v xml:space="preserve"> </v>
      </c>
      <c r="NC91" s="104" t="str">
        <f>IFERROR(SMALL($NB$8:$NB$94,ROWS($IL$8:IL91))," ")</f>
        <v xml:space="preserve"> </v>
      </c>
      <c r="ND91" s="102">
        <f>IFERROR(ROWS($IL$8:IL91)," ")</f>
        <v>84</v>
      </c>
      <c r="NE91" s="103" t="str">
        <f>IFERROR(IF([1]Checklist!$C$17='GenInfo (2)'!E91,'GenInfo (2)'!ND91," ")," ")</f>
        <v xml:space="preserve"> </v>
      </c>
      <c r="NF91" s="104" t="str">
        <f>IFERROR(SMALL($NE$8:$NE$94,ROWS($IL$8:IL91))," ")</f>
        <v xml:space="preserve"> </v>
      </c>
    </row>
    <row r="92" spans="5:370" ht="14.25" x14ac:dyDescent="0.45">
      <c r="E92" s="64"/>
      <c r="F92" s="63"/>
      <c r="G92" s="64"/>
      <c r="H92" s="63"/>
      <c r="I92" s="63"/>
      <c r="J92" s="63"/>
      <c r="K92" s="62"/>
      <c r="L92" s="67"/>
      <c r="M92" s="67"/>
      <c r="N92" s="67"/>
      <c r="O92" s="68"/>
      <c r="P92" s="67"/>
      <c r="Q92" s="67"/>
      <c r="R92" s="63"/>
      <c r="S92" s="67"/>
      <c r="T92" s="63"/>
      <c r="U92" s="62"/>
      <c r="V92" s="63"/>
      <c r="W92" s="63"/>
      <c r="X92" s="69"/>
      <c r="Y92" s="63"/>
      <c r="Z92" s="69"/>
      <c r="AA92" s="62"/>
      <c r="AB92" s="63"/>
      <c r="AC92" s="63"/>
      <c r="AD92" s="63"/>
      <c r="AE92" s="63"/>
      <c r="AF92" s="63"/>
      <c r="AG92" s="63"/>
      <c r="AH92" s="63"/>
      <c r="AI92" s="63"/>
      <c r="AJ92" s="63"/>
      <c r="AK92" s="62"/>
      <c r="AL92" s="71">
        <f t="shared" si="95"/>
        <v>0</v>
      </c>
      <c r="AM92" s="71">
        <f t="shared" ca="1" si="137"/>
        <v>122</v>
      </c>
      <c r="AN92" s="63"/>
      <c r="AO92" s="72" t="str">
        <f t="shared" ca="1" si="97"/>
        <v/>
      </c>
      <c r="AP92" s="63"/>
      <c r="AQ92" s="73"/>
      <c r="AR92" s="70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2"/>
      <c r="BE92" s="71">
        <f t="shared" si="144"/>
        <v>0</v>
      </c>
      <c r="BF92" s="71">
        <f t="shared" si="144"/>
        <v>0</v>
      </c>
      <c r="BG92" s="71">
        <f t="shared" si="99"/>
        <v>0</v>
      </c>
      <c r="BH92" s="74" t="str">
        <f t="shared" si="100"/>
        <v xml:space="preserve"> </v>
      </c>
      <c r="BI92" s="75" t="str">
        <f t="shared" si="101"/>
        <v xml:space="preserve"> </v>
      </c>
      <c r="BJ92" s="71">
        <f t="shared" si="102"/>
        <v>0</v>
      </c>
      <c r="BK92" s="75" t="str">
        <f t="shared" si="103"/>
        <v xml:space="preserve"> </v>
      </c>
      <c r="BL92" s="76">
        <f t="shared" si="145"/>
        <v>0</v>
      </c>
      <c r="BM92" s="77">
        <f t="shared" si="145"/>
        <v>0</v>
      </c>
      <c r="BN92" s="78"/>
      <c r="BO92" s="67"/>
      <c r="BP92" s="67"/>
      <c r="BQ92" s="63"/>
      <c r="BR92" s="63"/>
      <c r="BS92" s="74" t="str">
        <f t="shared" si="108"/>
        <v xml:space="preserve"> </v>
      </c>
      <c r="BT92" s="79" t="s">
        <v>221</v>
      </c>
      <c r="BU92" s="79" t="s">
        <v>221</v>
      </c>
      <c r="BV92" s="80">
        <v>0</v>
      </c>
      <c r="BW92" s="81">
        <v>0</v>
      </c>
      <c r="BX92" s="82"/>
      <c r="BY92" s="83"/>
      <c r="BZ92" s="83"/>
      <c r="CA92" s="84"/>
      <c r="CB92" s="84"/>
      <c r="CC92" s="74" t="str">
        <f t="shared" si="109"/>
        <v xml:space="preserve"> </v>
      </c>
      <c r="CD92" s="79" t="s">
        <v>221</v>
      </c>
      <c r="CE92" s="81">
        <v>0</v>
      </c>
      <c r="CF92" s="85"/>
      <c r="CG92" s="85"/>
      <c r="CH92" s="85"/>
      <c r="CI92" s="78"/>
      <c r="CJ92" s="78"/>
      <c r="CK92" s="74" t="str">
        <f t="shared" si="110"/>
        <v xml:space="preserve"> </v>
      </c>
      <c r="CL92" s="79" t="s">
        <v>221</v>
      </c>
      <c r="CM92" s="79" t="s">
        <v>221</v>
      </c>
      <c r="CN92" s="86" t="s">
        <v>221</v>
      </c>
      <c r="CO92" s="81">
        <v>0</v>
      </c>
      <c r="CP92" s="87"/>
      <c r="CQ92" s="83"/>
      <c r="CR92" s="83"/>
      <c r="CS92" s="82"/>
      <c r="CT92" s="82"/>
      <c r="CU92" s="74" t="str">
        <f t="shared" si="111"/>
        <v xml:space="preserve"> </v>
      </c>
      <c r="CV92" s="79" t="s">
        <v>221</v>
      </c>
      <c r="CW92" s="79" t="s">
        <v>221</v>
      </c>
      <c r="CX92" s="88" t="s">
        <v>221</v>
      </c>
      <c r="CY92" s="81">
        <v>0</v>
      </c>
      <c r="CZ92" s="89"/>
      <c r="DA92" s="67"/>
      <c r="DB92" s="67"/>
      <c r="DC92" s="78"/>
      <c r="DD92" s="78"/>
      <c r="DE92" s="74" t="str">
        <f t="shared" si="112"/>
        <v xml:space="preserve"> </v>
      </c>
      <c r="DF92" s="79" t="s">
        <v>221</v>
      </c>
      <c r="DG92" s="79" t="s">
        <v>221</v>
      </c>
      <c r="DH92" s="79" t="s">
        <v>221</v>
      </c>
      <c r="DI92" s="81">
        <v>0</v>
      </c>
      <c r="DJ92" s="87"/>
      <c r="DK92" s="83"/>
      <c r="DL92" s="83"/>
      <c r="DM92" s="82"/>
      <c r="DN92" s="82"/>
      <c r="DO92" s="74" t="str">
        <f t="shared" si="113"/>
        <v xml:space="preserve"> </v>
      </c>
      <c r="DP92" s="79" t="s">
        <v>221</v>
      </c>
      <c r="DQ92" s="79" t="s">
        <v>221</v>
      </c>
      <c r="DR92" s="79" t="s">
        <v>221</v>
      </c>
      <c r="DS92" s="81">
        <v>0</v>
      </c>
      <c r="DT92" s="89"/>
      <c r="DU92" s="67"/>
      <c r="DV92" s="67"/>
      <c r="DW92" s="78"/>
      <c r="DX92" s="78"/>
      <c r="DY92" s="74" t="str">
        <f t="shared" si="114"/>
        <v xml:space="preserve"> </v>
      </c>
      <c r="DZ92" s="94"/>
      <c r="EA92" s="94"/>
      <c r="EB92" s="94"/>
      <c r="EC92" s="94"/>
      <c r="ED92" s="87"/>
      <c r="EE92" s="83"/>
      <c r="EF92" s="83"/>
      <c r="EG92" s="82"/>
      <c r="EH92" s="82"/>
      <c r="EI92" s="74" t="str">
        <f t="shared" si="105"/>
        <v xml:space="preserve"> </v>
      </c>
      <c r="EJ92" s="92"/>
      <c r="EK92" s="92"/>
      <c r="EL92" s="92"/>
      <c r="EM92" s="92"/>
      <c r="EN92" s="89"/>
      <c r="EO92" s="67"/>
      <c r="EP92" s="67"/>
      <c r="EQ92" s="78"/>
      <c r="ER92" s="78"/>
      <c r="ES92" s="74" t="str">
        <f t="shared" si="106"/>
        <v xml:space="preserve"> </v>
      </c>
      <c r="ET92" s="94"/>
      <c r="EU92" s="94"/>
      <c r="EV92" s="94">
        <v>0</v>
      </c>
      <c r="EW92" s="76">
        <v>0</v>
      </c>
      <c r="EX92" s="87"/>
      <c r="EY92" s="83"/>
      <c r="EZ92" s="83"/>
      <c r="FA92" s="82"/>
      <c r="FB92" s="82"/>
      <c r="FC92" s="74" t="str">
        <f t="shared" si="115"/>
        <v xml:space="preserve"> </v>
      </c>
      <c r="FD92" s="92"/>
      <c r="FE92" s="92"/>
      <c r="FF92" s="92"/>
      <c r="FG92" s="92"/>
      <c r="FH92" s="76">
        <f t="shared" si="116"/>
        <v>0</v>
      </c>
      <c r="FI92" s="89"/>
      <c r="FJ92" s="67"/>
      <c r="FK92" s="67"/>
      <c r="FL92" s="78"/>
      <c r="FM92" s="78"/>
      <c r="FN92" s="74" t="str">
        <f t="shared" si="117"/>
        <v xml:space="preserve"> </v>
      </c>
      <c r="FO92" s="94"/>
      <c r="FP92" s="94"/>
      <c r="FQ92" s="94"/>
      <c r="FR92" s="94"/>
      <c r="FS92" s="76">
        <f t="shared" si="118"/>
        <v>0</v>
      </c>
      <c r="FT92" s="87"/>
      <c r="FU92" s="83"/>
      <c r="FV92" s="83"/>
      <c r="FW92" s="82"/>
      <c r="FX92" s="82"/>
      <c r="FY92" s="74" t="str">
        <f t="shared" si="119"/>
        <v xml:space="preserve"> </v>
      </c>
      <c r="FZ92" s="92"/>
      <c r="GA92" s="92"/>
      <c r="GB92" s="92"/>
      <c r="GC92" s="92"/>
      <c r="GD92" s="76">
        <f t="shared" si="120"/>
        <v>0</v>
      </c>
      <c r="GE92" s="62"/>
      <c r="GF92" s="96" t="s">
        <v>221</v>
      </c>
      <c r="GG92" s="96" t="s">
        <v>221</v>
      </c>
      <c r="GH92" s="63"/>
      <c r="GI92" s="63"/>
      <c r="GJ92" s="63"/>
      <c r="GK92" s="97">
        <f t="shared" si="146"/>
        <v>0</v>
      </c>
      <c r="GL92" s="98"/>
      <c r="GM92" s="98"/>
      <c r="GN92" s="97">
        <f t="shared" si="121"/>
        <v>0</v>
      </c>
      <c r="GO92" s="97" t="str">
        <f t="shared" si="122"/>
        <v xml:space="preserve"> </v>
      </c>
      <c r="GP92" s="62"/>
      <c r="GQ92" s="63"/>
      <c r="GR92" s="63"/>
      <c r="GS92" s="63"/>
      <c r="GT92" s="63"/>
      <c r="GU92" s="63"/>
      <c r="GV92" s="63"/>
      <c r="GW92" s="63"/>
      <c r="GX92" s="63"/>
      <c r="GY92" s="65" t="str">
        <f t="shared" si="138"/>
        <v/>
      </c>
      <c r="GZ92" s="65" t="str">
        <f t="shared" si="139"/>
        <v/>
      </c>
      <c r="HA92" s="63"/>
      <c r="HB92" s="63"/>
      <c r="HC92" s="63"/>
      <c r="HD92" s="63"/>
      <c r="HE92" s="63"/>
      <c r="HF92" s="63"/>
      <c r="HG92" s="63"/>
      <c r="HH92" s="63"/>
      <c r="HI92" s="63"/>
      <c r="HJ92" s="63"/>
      <c r="HK92" s="63"/>
      <c r="HL92" s="65" t="str">
        <f t="shared" si="140"/>
        <v/>
      </c>
      <c r="HM92" s="65" t="str">
        <f t="shared" si="124"/>
        <v/>
      </c>
      <c r="HN92" s="65" t="str">
        <f t="shared" si="141"/>
        <v/>
      </c>
      <c r="HO92" s="65" t="str">
        <f t="shared" si="142"/>
        <v/>
      </c>
      <c r="HP92" s="99" t="str">
        <f t="shared" si="130"/>
        <v/>
      </c>
      <c r="HQ92" s="99" t="str">
        <f t="shared" si="143"/>
        <v/>
      </c>
      <c r="HR92" s="63"/>
      <c r="HS92" s="63"/>
      <c r="HT92" s="63"/>
      <c r="HU92" s="63"/>
      <c r="HV92" s="63"/>
      <c r="HW92" s="63"/>
      <c r="HX92" s="63"/>
      <c r="HY92" s="63"/>
      <c r="HZ92" s="63"/>
      <c r="IA92" s="63"/>
      <c r="IB92" s="63"/>
      <c r="IC92" s="63"/>
      <c r="ID92" s="63"/>
      <c r="IE92" s="63"/>
      <c r="IF92" s="63"/>
      <c r="IG92" s="63"/>
      <c r="IH92" s="63"/>
      <c r="II92" s="63"/>
      <c r="IJ92" s="63"/>
      <c r="IK92" s="63"/>
      <c r="IL92" s="63"/>
      <c r="IM92" s="62"/>
      <c r="IN92" s="101"/>
      <c r="IO92" s="101"/>
      <c r="IP92" s="63"/>
      <c r="IQ92" s="63"/>
      <c r="IR92" s="63"/>
      <c r="IS92" s="63"/>
      <c r="IT92" s="63"/>
      <c r="IU92" s="63"/>
      <c r="IV92" s="63"/>
      <c r="IW92" s="63"/>
      <c r="IX92" s="63"/>
      <c r="IY92" s="63"/>
      <c r="IZ92" s="63"/>
      <c r="JA92" s="65">
        <f t="shared" si="107"/>
        <v>0</v>
      </c>
      <c r="JB92" s="63"/>
      <c r="JC92" s="101"/>
      <c r="JD92" s="101"/>
      <c r="JE92" s="63"/>
      <c r="JF92" s="63"/>
      <c r="JG92" s="63"/>
      <c r="JH92" s="63"/>
      <c r="JI92" s="63"/>
      <c r="JJ92" s="63"/>
      <c r="JK92" s="63"/>
      <c r="JL92" s="63"/>
      <c r="JM92" s="63"/>
      <c r="JN92" s="63"/>
      <c r="JO92" s="63"/>
      <c r="JP92" s="65">
        <f t="shared" si="133"/>
        <v>0</v>
      </c>
      <c r="JQ92" s="63"/>
      <c r="LM92" s="205"/>
      <c r="LN92" s="102">
        <f>IFERROR(ROWS($IL$8:IL92)," ")</f>
        <v>85</v>
      </c>
      <c r="LO92" s="103" t="str">
        <f>IFERROR(IF([1]Checklist!$C$3='GenInfo (2)'!E92,'GenInfo (2)'!LN92," ")," ")</f>
        <v xml:space="preserve"> </v>
      </c>
      <c r="LP92" s="104" t="str">
        <f>IFERROR(SMALL($LO$8:$LO$94,ROWS($IL$8:IL92))," ")</f>
        <v xml:space="preserve"> </v>
      </c>
      <c r="LQ92" s="102">
        <f>IFERROR(ROWS($IL$8:IL92)," ")</f>
        <v>85</v>
      </c>
      <c r="LR92" s="103" t="str">
        <f>IFERROR(IF([1]Checklist!$C$4='GenInfo (2)'!E92,'GenInfo (2)'!LQ92," ")," ")</f>
        <v xml:space="preserve"> </v>
      </c>
      <c r="LS92" s="104" t="str">
        <f>IFERROR(SMALL($LR$8:$LR$94,ROWS($IL$8:IL92))," ")</f>
        <v xml:space="preserve"> </v>
      </c>
      <c r="LT92" s="102">
        <f>IFERROR(ROWS($IL$8:IL92)," ")</f>
        <v>85</v>
      </c>
      <c r="LU92" s="103" t="str">
        <f>IFERROR(IF([1]Checklist!$C$5='GenInfo (2)'!E92,'GenInfo (2)'!LT92," ")," ")</f>
        <v xml:space="preserve"> </v>
      </c>
      <c r="LV92" s="104" t="str">
        <f>IFERROR(SMALL($LU$8:$LU$94,ROWS($IL$8:IL92))," ")</f>
        <v xml:space="preserve"> </v>
      </c>
      <c r="LW92" s="102">
        <f>IFERROR(ROWS($IL$8:IL92)," ")</f>
        <v>85</v>
      </c>
      <c r="LX92" s="103" t="str">
        <f>IFERROR(IF([1]Checklist!$C$6='GenInfo (2)'!E92,'GenInfo (2)'!LW92," ")," ")</f>
        <v xml:space="preserve"> </v>
      </c>
      <c r="LY92" s="104" t="str">
        <f>IFERROR(SMALL($LX$8:$LX$94,ROWS($IL$8:IL92))," ")</f>
        <v xml:space="preserve"> </v>
      </c>
      <c r="LZ92" s="102">
        <f>IFERROR(ROWS($IL$8:IL92)," ")</f>
        <v>85</v>
      </c>
      <c r="MA92" s="103" t="str">
        <f>IFERROR(IF([1]Checklist!$C$7='GenInfo (2)'!E92,'GenInfo (2)'!LZ92," ")," ")</f>
        <v xml:space="preserve"> </v>
      </c>
      <c r="MB92" s="104" t="str">
        <f>IFERROR(SMALL($MA$8:$MA$94,ROWS($IL$8:IL92))," ")</f>
        <v xml:space="preserve"> </v>
      </c>
      <c r="MC92" s="102">
        <f>IFERROR(ROWS($IL$8:IL92)," ")</f>
        <v>85</v>
      </c>
      <c r="MD92" s="103" t="str">
        <f>IFERROR(IF([1]Checklist!$C$8='GenInfo (2)'!E92,'GenInfo (2)'!MC92," ")," ")</f>
        <v xml:space="preserve"> </v>
      </c>
      <c r="ME92" s="104" t="str">
        <f>IFERROR(SMALL($MD$8:$MD$94,ROWS($IL$8:IL92))," ")</f>
        <v xml:space="preserve"> </v>
      </c>
      <c r="MF92" s="102">
        <f>IFERROR(ROWS($IL$8:IL92)," ")</f>
        <v>85</v>
      </c>
      <c r="MG92" s="103" t="str">
        <f>IFERROR(IF([1]Checklist!$C$9='GenInfo (2)'!E92,'GenInfo (2)'!MF92," ")," ")</f>
        <v xml:space="preserve"> </v>
      </c>
      <c r="MH92" s="104" t="str">
        <f>IFERROR(SMALL($MG$8:$MG$94,ROWS($IL$8:IL92))," ")</f>
        <v xml:space="preserve"> </v>
      </c>
      <c r="MI92" s="102">
        <f>IFERROR(ROWS($IL$8:$IL92)," ")</f>
        <v>85</v>
      </c>
      <c r="MJ92" s="103" t="str">
        <f>IFERROR(IF([1]Checklist!$C$10='GenInfo (2)'!E92,'GenInfo (2)'!MI92," ")," ")</f>
        <v xml:space="preserve"> </v>
      </c>
      <c r="MK92" s="104" t="str">
        <f>IFERROR(SMALL($MJ$8:$MJ$94,ROWS($IL$8:IL92))," ")</f>
        <v xml:space="preserve"> </v>
      </c>
      <c r="ML92" s="102">
        <f>IFERROR(ROWS($IL$8:IL92)," ")</f>
        <v>85</v>
      </c>
      <c r="MM92" s="103" t="str">
        <f>IFERROR(IF([1]Checklist!$C$11='GenInfo (2)'!E92,'GenInfo (2)'!ML92," ")," ")</f>
        <v xml:space="preserve"> </v>
      </c>
      <c r="MN92" s="104" t="str">
        <f>IFERROR(SMALL($MM$8:$MM$94,ROWS($IL$8:IL92))," ")</f>
        <v xml:space="preserve"> </v>
      </c>
      <c r="MO92" s="102">
        <f>IFERROR(ROWS($IL$8:IL92)," ")</f>
        <v>85</v>
      </c>
      <c r="MP92" s="103" t="str">
        <f>IFERROR(IF([1]Checklist!$C$12='GenInfo (2)'!E92,'GenInfo (2)'!MO92," ")," ")</f>
        <v xml:space="preserve"> </v>
      </c>
      <c r="MQ92" s="104" t="str">
        <f>IFERROR(SMALL($MP$8:$MP$94,ROWS($IL$8:IL92))," ")</f>
        <v xml:space="preserve"> </v>
      </c>
      <c r="MR92" s="102">
        <f>IFERROR(ROWS($IL$8:IL92)," ")</f>
        <v>85</v>
      </c>
      <c r="MS92" s="103" t="str">
        <f>IFERROR(IF([1]Checklist!$C$13='GenInfo (2)'!E92,'GenInfo (2)'!MR92," ")," ")</f>
        <v xml:space="preserve"> </v>
      </c>
      <c r="MT92" s="104" t="str">
        <f>IFERROR(SMALL($MS$8:$MS$94,ROWS($IL$8:IL92))," ")</f>
        <v xml:space="preserve"> </v>
      </c>
      <c r="MU92" s="102">
        <f>IFERROR(ROWS($IL$8:IL92)," ")</f>
        <v>85</v>
      </c>
      <c r="MV92" s="103" t="str">
        <f>IFERROR(IF([1]Checklist!$C$14='GenInfo (2)'!E92,'GenInfo (2)'!MU92," ")," ")</f>
        <v xml:space="preserve"> </v>
      </c>
      <c r="MW92" s="104" t="str">
        <f>IFERROR(SMALL($MV$8:$MV$94,ROWS($IL$8:IL92))," ")</f>
        <v xml:space="preserve"> </v>
      </c>
      <c r="MX92" s="102">
        <f>IFERROR(ROWS($IL$8:IL92)," ")</f>
        <v>85</v>
      </c>
      <c r="MY92" s="103" t="str">
        <f>IFERROR(IF([1]Checklist!$C$15='GenInfo (2)'!E92,'GenInfo (2)'!MX92," ")," ")</f>
        <v xml:space="preserve"> </v>
      </c>
      <c r="MZ92" s="104" t="str">
        <f>IFERROR(SMALL($MY$8:$MY$94,ROWS($IL$8:IL92))," ")</f>
        <v xml:space="preserve"> </v>
      </c>
      <c r="NA92" s="102">
        <f>IFERROR(ROWS($IL$8:IL92)," ")</f>
        <v>85</v>
      </c>
      <c r="NB92" s="103" t="str">
        <f>IFERROR(IF([1]Checklist!$C$16='GenInfo (2)'!E92,'GenInfo (2)'!NA92," ")," ")</f>
        <v xml:space="preserve"> </v>
      </c>
      <c r="NC92" s="104" t="str">
        <f>IFERROR(SMALL($NB$8:$NB$94,ROWS($IL$8:IL92))," ")</f>
        <v xml:space="preserve"> </v>
      </c>
      <c r="ND92" s="102">
        <f>IFERROR(ROWS($IL$8:IL92)," ")</f>
        <v>85</v>
      </c>
      <c r="NE92" s="103" t="str">
        <f>IFERROR(IF([1]Checklist!$C$17='GenInfo (2)'!E92,'GenInfo (2)'!ND92," ")," ")</f>
        <v xml:space="preserve"> </v>
      </c>
      <c r="NF92" s="104" t="str">
        <f>IFERROR(SMALL($NE$8:$NE$94,ROWS($IL$8:IL92))," ")</f>
        <v xml:space="preserve"> </v>
      </c>
    </row>
    <row r="93" spans="5:370" ht="14.25" x14ac:dyDescent="0.45">
      <c r="E93" s="64"/>
      <c r="F93" s="63"/>
      <c r="G93" s="64"/>
      <c r="H93" s="63"/>
      <c r="I93" s="63"/>
      <c r="J93" s="63"/>
      <c r="K93" s="62"/>
      <c r="L93" s="67"/>
      <c r="M93" s="67"/>
      <c r="N93" s="67"/>
      <c r="O93" s="68"/>
      <c r="P93" s="67"/>
      <c r="Q93" s="67"/>
      <c r="R93" s="63"/>
      <c r="S93" s="67"/>
      <c r="T93" s="63"/>
      <c r="U93" s="62"/>
      <c r="V93" s="63"/>
      <c r="W93" s="63"/>
      <c r="X93" s="69"/>
      <c r="Y93" s="63"/>
      <c r="Z93" s="69"/>
      <c r="AA93" s="62"/>
      <c r="AB93" s="63"/>
      <c r="AC93" s="63"/>
      <c r="AD93" s="63"/>
      <c r="AE93" s="63"/>
      <c r="AF93" s="63"/>
      <c r="AG93" s="63"/>
      <c r="AH93" s="63"/>
      <c r="AI93" s="63"/>
      <c r="AJ93" s="63"/>
      <c r="AK93" s="62"/>
      <c r="AL93" s="71">
        <f t="shared" si="95"/>
        <v>0</v>
      </c>
      <c r="AM93" s="71">
        <f t="shared" ca="1" si="137"/>
        <v>122</v>
      </c>
      <c r="AN93" s="63"/>
      <c r="AO93" s="72" t="str">
        <f t="shared" ca="1" si="97"/>
        <v/>
      </c>
      <c r="AP93" s="63"/>
      <c r="AQ93" s="73"/>
      <c r="AR93" s="70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2"/>
      <c r="BE93" s="71">
        <f t="shared" si="144"/>
        <v>0</v>
      </c>
      <c r="BF93" s="71">
        <f t="shared" si="144"/>
        <v>0</v>
      </c>
      <c r="BG93" s="71">
        <f t="shared" si="99"/>
        <v>0</v>
      </c>
      <c r="BH93" s="74" t="str">
        <f t="shared" si="100"/>
        <v xml:space="preserve"> </v>
      </c>
      <c r="BI93" s="75" t="str">
        <f t="shared" si="101"/>
        <v xml:space="preserve"> </v>
      </c>
      <c r="BJ93" s="71">
        <f t="shared" si="102"/>
        <v>0</v>
      </c>
      <c r="BK93" s="75" t="str">
        <f t="shared" si="103"/>
        <v xml:space="preserve"> </v>
      </c>
      <c r="BL93" s="76">
        <f t="shared" si="145"/>
        <v>0</v>
      </c>
      <c r="BM93" s="77">
        <f t="shared" si="145"/>
        <v>0</v>
      </c>
      <c r="BN93" s="78"/>
      <c r="BO93" s="67"/>
      <c r="BP93" s="67"/>
      <c r="BQ93" s="63"/>
      <c r="BR93" s="63"/>
      <c r="BS93" s="74" t="str">
        <f t="shared" si="108"/>
        <v xml:space="preserve"> </v>
      </c>
      <c r="BT93" s="79" t="s">
        <v>221</v>
      </c>
      <c r="BU93" s="79" t="s">
        <v>221</v>
      </c>
      <c r="BV93" s="80">
        <v>0</v>
      </c>
      <c r="BW93" s="81">
        <v>0</v>
      </c>
      <c r="BX93" s="82"/>
      <c r="BY93" s="83"/>
      <c r="BZ93" s="83"/>
      <c r="CA93" s="84"/>
      <c r="CB93" s="84"/>
      <c r="CC93" s="74" t="str">
        <f t="shared" si="109"/>
        <v xml:space="preserve"> </v>
      </c>
      <c r="CD93" s="79" t="s">
        <v>221</v>
      </c>
      <c r="CE93" s="81">
        <v>0</v>
      </c>
      <c r="CF93" s="85"/>
      <c r="CG93" s="85"/>
      <c r="CH93" s="85"/>
      <c r="CI93" s="78"/>
      <c r="CJ93" s="78"/>
      <c r="CK93" s="74" t="str">
        <f t="shared" si="110"/>
        <v xml:space="preserve"> </v>
      </c>
      <c r="CL93" s="79" t="s">
        <v>221</v>
      </c>
      <c r="CM93" s="79" t="s">
        <v>221</v>
      </c>
      <c r="CN93" s="86" t="s">
        <v>221</v>
      </c>
      <c r="CO93" s="81">
        <v>0</v>
      </c>
      <c r="CP93" s="87"/>
      <c r="CQ93" s="83"/>
      <c r="CR93" s="83"/>
      <c r="CS93" s="82"/>
      <c r="CT93" s="82"/>
      <c r="CU93" s="74" t="str">
        <f t="shared" si="111"/>
        <v xml:space="preserve"> </v>
      </c>
      <c r="CV93" s="79" t="s">
        <v>221</v>
      </c>
      <c r="CW93" s="79" t="s">
        <v>221</v>
      </c>
      <c r="CX93" s="88" t="s">
        <v>221</v>
      </c>
      <c r="CY93" s="81">
        <v>0</v>
      </c>
      <c r="CZ93" s="89"/>
      <c r="DA93" s="67"/>
      <c r="DB93" s="67"/>
      <c r="DC93" s="78"/>
      <c r="DD93" s="78"/>
      <c r="DE93" s="74" t="str">
        <f t="shared" si="112"/>
        <v xml:space="preserve"> </v>
      </c>
      <c r="DF93" s="79" t="s">
        <v>221</v>
      </c>
      <c r="DG93" s="79" t="s">
        <v>221</v>
      </c>
      <c r="DH93" s="79" t="s">
        <v>221</v>
      </c>
      <c r="DI93" s="81">
        <v>0</v>
      </c>
      <c r="DJ93" s="87"/>
      <c r="DK93" s="83"/>
      <c r="DL93" s="83"/>
      <c r="DM93" s="82"/>
      <c r="DN93" s="82"/>
      <c r="DO93" s="74" t="str">
        <f t="shared" si="113"/>
        <v xml:space="preserve"> </v>
      </c>
      <c r="DP93" s="79" t="s">
        <v>221</v>
      </c>
      <c r="DQ93" s="79" t="s">
        <v>221</v>
      </c>
      <c r="DR93" s="79" t="s">
        <v>221</v>
      </c>
      <c r="DS93" s="81">
        <v>0</v>
      </c>
      <c r="DT93" s="89"/>
      <c r="DU93" s="67"/>
      <c r="DV93" s="67"/>
      <c r="DW93" s="78"/>
      <c r="DX93" s="78"/>
      <c r="DY93" s="74" t="str">
        <f t="shared" si="114"/>
        <v xml:space="preserve"> </v>
      </c>
      <c r="DZ93" s="94"/>
      <c r="EA93" s="94"/>
      <c r="EB93" s="94"/>
      <c r="EC93" s="94"/>
      <c r="ED93" s="87"/>
      <c r="EE93" s="83"/>
      <c r="EF93" s="83"/>
      <c r="EG93" s="82"/>
      <c r="EH93" s="82"/>
      <c r="EI93" s="74" t="str">
        <f t="shared" si="105"/>
        <v xml:space="preserve"> </v>
      </c>
      <c r="EJ93" s="92"/>
      <c r="EK93" s="92"/>
      <c r="EL93" s="92"/>
      <c r="EM93" s="92"/>
      <c r="EN93" s="89"/>
      <c r="EO93" s="67"/>
      <c r="EP93" s="67"/>
      <c r="EQ93" s="78"/>
      <c r="ER93" s="78"/>
      <c r="ES93" s="74" t="str">
        <f t="shared" si="106"/>
        <v xml:space="preserve"> </v>
      </c>
      <c r="ET93" s="94"/>
      <c r="EU93" s="94"/>
      <c r="EV93" s="94">
        <v>0</v>
      </c>
      <c r="EW93" s="76">
        <v>0</v>
      </c>
      <c r="EX93" s="87"/>
      <c r="EY93" s="83"/>
      <c r="EZ93" s="83"/>
      <c r="FA93" s="82"/>
      <c r="FB93" s="82"/>
      <c r="FC93" s="74" t="str">
        <f t="shared" si="115"/>
        <v xml:space="preserve"> </v>
      </c>
      <c r="FD93" s="92"/>
      <c r="FE93" s="92"/>
      <c r="FF93" s="92"/>
      <c r="FG93" s="92"/>
      <c r="FH93" s="76">
        <f t="shared" si="116"/>
        <v>0</v>
      </c>
      <c r="FI93" s="89"/>
      <c r="FJ93" s="67"/>
      <c r="FK93" s="67"/>
      <c r="FL93" s="78"/>
      <c r="FM93" s="78"/>
      <c r="FN93" s="74" t="str">
        <f t="shared" si="117"/>
        <v xml:space="preserve"> </v>
      </c>
      <c r="FO93" s="94"/>
      <c r="FP93" s="94"/>
      <c r="FQ93" s="94"/>
      <c r="FR93" s="94"/>
      <c r="FS93" s="76">
        <f t="shared" si="118"/>
        <v>0</v>
      </c>
      <c r="FT93" s="87"/>
      <c r="FU93" s="83"/>
      <c r="FV93" s="83"/>
      <c r="FW93" s="82"/>
      <c r="FX93" s="82"/>
      <c r="FY93" s="74" t="str">
        <f t="shared" si="119"/>
        <v xml:space="preserve"> </v>
      </c>
      <c r="FZ93" s="92"/>
      <c r="GA93" s="92"/>
      <c r="GB93" s="92"/>
      <c r="GC93" s="92"/>
      <c r="GD93" s="76">
        <f t="shared" si="120"/>
        <v>0</v>
      </c>
      <c r="GE93" s="62"/>
      <c r="GF93" s="96" t="s">
        <v>221</v>
      </c>
      <c r="GG93" s="96" t="s">
        <v>221</v>
      </c>
      <c r="GH93" s="63"/>
      <c r="GI93" s="63"/>
      <c r="GJ93" s="63"/>
      <c r="GK93" s="97">
        <f t="shared" si="146"/>
        <v>0</v>
      </c>
      <c r="GL93" s="98"/>
      <c r="GM93" s="98"/>
      <c r="GN93" s="97">
        <f t="shared" si="121"/>
        <v>0</v>
      </c>
      <c r="GO93" s="97" t="str">
        <f t="shared" si="122"/>
        <v xml:space="preserve"> </v>
      </c>
      <c r="GP93" s="62"/>
      <c r="GQ93" s="63"/>
      <c r="GR93" s="63"/>
      <c r="GS93" s="63"/>
      <c r="GT93" s="63"/>
      <c r="GU93" s="63"/>
      <c r="GV93" s="63"/>
      <c r="GW93" s="63"/>
      <c r="GX93" s="63"/>
      <c r="GY93" s="65" t="str">
        <f t="shared" si="138"/>
        <v/>
      </c>
      <c r="GZ93" s="65" t="str">
        <f t="shared" si="139"/>
        <v/>
      </c>
      <c r="HA93" s="63"/>
      <c r="HB93" s="63"/>
      <c r="HC93" s="63"/>
      <c r="HD93" s="63"/>
      <c r="HE93" s="63"/>
      <c r="HF93" s="63"/>
      <c r="HG93" s="63"/>
      <c r="HH93" s="63"/>
      <c r="HI93" s="63"/>
      <c r="HJ93" s="63"/>
      <c r="HK93" s="63"/>
      <c r="HL93" s="65" t="str">
        <f t="shared" si="140"/>
        <v/>
      </c>
      <c r="HM93" s="65" t="str">
        <f t="shared" si="124"/>
        <v/>
      </c>
      <c r="HN93" s="65" t="str">
        <f t="shared" si="141"/>
        <v/>
      </c>
      <c r="HO93" s="65" t="str">
        <f t="shared" si="142"/>
        <v/>
      </c>
      <c r="HP93" s="99" t="str">
        <f t="shared" si="130"/>
        <v/>
      </c>
      <c r="HQ93" s="99" t="str">
        <f t="shared" si="143"/>
        <v/>
      </c>
      <c r="HR93" s="63"/>
      <c r="HS93" s="63"/>
      <c r="HT93" s="63"/>
      <c r="HU93" s="63"/>
      <c r="HV93" s="63"/>
      <c r="HW93" s="63"/>
      <c r="HX93" s="63"/>
      <c r="HY93" s="63"/>
      <c r="HZ93" s="63"/>
      <c r="IA93" s="63"/>
      <c r="IB93" s="63"/>
      <c r="IC93" s="63"/>
      <c r="ID93" s="63"/>
      <c r="IE93" s="63"/>
      <c r="IF93" s="63"/>
      <c r="IG93" s="63"/>
      <c r="IH93" s="63"/>
      <c r="II93" s="63"/>
      <c r="IJ93" s="63"/>
      <c r="IK93" s="63"/>
      <c r="IL93" s="63"/>
      <c r="IM93" s="62"/>
      <c r="IN93" s="101"/>
      <c r="IO93" s="101"/>
      <c r="IP93" s="63"/>
      <c r="IQ93" s="63"/>
      <c r="IR93" s="63"/>
      <c r="IS93" s="63"/>
      <c r="IT93" s="63"/>
      <c r="IU93" s="63"/>
      <c r="IV93" s="63"/>
      <c r="IW93" s="63"/>
      <c r="IX93" s="63"/>
      <c r="IY93" s="63"/>
      <c r="IZ93" s="63"/>
      <c r="JA93" s="65">
        <f t="shared" si="107"/>
        <v>0</v>
      </c>
      <c r="JB93" s="63"/>
      <c r="JC93" s="101"/>
      <c r="JD93" s="101"/>
      <c r="JE93" s="63"/>
      <c r="JF93" s="63"/>
      <c r="JG93" s="63"/>
      <c r="JH93" s="63"/>
      <c r="JI93" s="63"/>
      <c r="JJ93" s="63"/>
      <c r="JK93" s="63"/>
      <c r="JL93" s="63"/>
      <c r="JM93" s="63"/>
      <c r="JN93" s="63"/>
      <c r="JO93" s="63"/>
      <c r="JP93" s="65">
        <f t="shared" si="133"/>
        <v>0</v>
      </c>
      <c r="JQ93" s="63"/>
      <c r="LM93" s="205"/>
      <c r="LN93" s="102">
        <f>IFERROR(ROWS($IL$8:IL93)," ")</f>
        <v>86</v>
      </c>
      <c r="LO93" s="103" t="str">
        <f>IFERROR(IF([1]Checklist!$C$3='GenInfo (2)'!E93,'GenInfo (2)'!LN93," ")," ")</f>
        <v xml:space="preserve"> </v>
      </c>
      <c r="LP93" s="104" t="str">
        <f>IFERROR(SMALL($LO$8:$LO$94,ROWS($IL$8:IL93))," ")</f>
        <v xml:space="preserve"> </v>
      </c>
      <c r="LQ93" s="102">
        <f>IFERROR(ROWS($IL$8:IL93)," ")</f>
        <v>86</v>
      </c>
      <c r="LR93" s="103" t="str">
        <f>IFERROR(IF([1]Checklist!$C$4='GenInfo (2)'!E93,'GenInfo (2)'!LQ93," ")," ")</f>
        <v xml:space="preserve"> </v>
      </c>
      <c r="LS93" s="104" t="str">
        <f>IFERROR(SMALL($LR$8:$LR$94,ROWS($IL$8:IL93))," ")</f>
        <v xml:space="preserve"> </v>
      </c>
      <c r="LT93" s="102">
        <f>IFERROR(ROWS($IL$8:IL93)," ")</f>
        <v>86</v>
      </c>
      <c r="LU93" s="103" t="str">
        <f>IFERROR(IF([1]Checklist!$C$5='GenInfo (2)'!E93,'GenInfo (2)'!LT93," ")," ")</f>
        <v xml:space="preserve"> </v>
      </c>
      <c r="LV93" s="104" t="str">
        <f>IFERROR(SMALL($LU$8:$LU$94,ROWS($IL$8:IL93))," ")</f>
        <v xml:space="preserve"> </v>
      </c>
      <c r="LW93" s="102">
        <f>IFERROR(ROWS($IL$8:IL93)," ")</f>
        <v>86</v>
      </c>
      <c r="LX93" s="103" t="str">
        <f>IFERROR(IF([1]Checklist!$C$6='GenInfo (2)'!E93,'GenInfo (2)'!LW93," ")," ")</f>
        <v xml:space="preserve"> </v>
      </c>
      <c r="LY93" s="104" t="str">
        <f>IFERROR(SMALL($LX$8:$LX$94,ROWS($IL$8:IL93))," ")</f>
        <v xml:space="preserve"> </v>
      </c>
      <c r="LZ93" s="102">
        <f>IFERROR(ROWS($IL$8:IL93)," ")</f>
        <v>86</v>
      </c>
      <c r="MA93" s="103" t="str">
        <f>IFERROR(IF([1]Checklist!$C$7='GenInfo (2)'!E93,'GenInfo (2)'!LZ93," ")," ")</f>
        <v xml:space="preserve"> </v>
      </c>
      <c r="MB93" s="104" t="str">
        <f>IFERROR(SMALL($MA$8:$MA$94,ROWS($IL$8:IL93))," ")</f>
        <v xml:space="preserve"> </v>
      </c>
      <c r="MC93" s="102">
        <f>IFERROR(ROWS($IL$8:IL93)," ")</f>
        <v>86</v>
      </c>
      <c r="MD93" s="103" t="str">
        <f>IFERROR(IF([1]Checklist!$C$8='GenInfo (2)'!E93,'GenInfo (2)'!MC93," ")," ")</f>
        <v xml:space="preserve"> </v>
      </c>
      <c r="ME93" s="104" t="str">
        <f>IFERROR(SMALL($MD$8:$MD$94,ROWS($IL$8:IL93))," ")</f>
        <v xml:space="preserve"> </v>
      </c>
      <c r="MF93" s="102">
        <f>IFERROR(ROWS($IL$8:IL93)," ")</f>
        <v>86</v>
      </c>
      <c r="MG93" s="103" t="str">
        <f>IFERROR(IF([1]Checklist!$C$9='GenInfo (2)'!E93,'GenInfo (2)'!MF93," ")," ")</f>
        <v xml:space="preserve"> </v>
      </c>
      <c r="MH93" s="104" t="str">
        <f>IFERROR(SMALL($MG$8:$MG$94,ROWS($IL$8:IL93))," ")</f>
        <v xml:space="preserve"> </v>
      </c>
      <c r="MI93" s="102">
        <f>IFERROR(ROWS($IL$8:$IL93)," ")</f>
        <v>86</v>
      </c>
      <c r="MJ93" s="103" t="str">
        <f>IFERROR(IF([1]Checklist!$C$10='GenInfo (2)'!E93,'GenInfo (2)'!MI93," ")," ")</f>
        <v xml:space="preserve"> </v>
      </c>
      <c r="MK93" s="104" t="str">
        <f>IFERROR(SMALL($MJ$8:$MJ$94,ROWS($IL$8:IL93))," ")</f>
        <v xml:space="preserve"> </v>
      </c>
      <c r="ML93" s="102">
        <f>IFERROR(ROWS($IL$8:IL93)," ")</f>
        <v>86</v>
      </c>
      <c r="MM93" s="103" t="str">
        <f>IFERROR(IF([1]Checklist!$C$11='GenInfo (2)'!E93,'GenInfo (2)'!ML93," ")," ")</f>
        <v xml:space="preserve"> </v>
      </c>
      <c r="MN93" s="104" t="str">
        <f>IFERROR(SMALL($MM$8:$MM$94,ROWS($IL$8:IL93))," ")</f>
        <v xml:space="preserve"> </v>
      </c>
      <c r="MO93" s="102">
        <f>IFERROR(ROWS($IL$8:IL93)," ")</f>
        <v>86</v>
      </c>
      <c r="MP93" s="103" t="str">
        <f>IFERROR(IF([1]Checklist!$C$12='GenInfo (2)'!E93,'GenInfo (2)'!MO93," ")," ")</f>
        <v xml:space="preserve"> </v>
      </c>
      <c r="MQ93" s="104" t="str">
        <f>IFERROR(SMALL($MP$8:$MP$94,ROWS($IL$8:IL93))," ")</f>
        <v xml:space="preserve"> </v>
      </c>
      <c r="MR93" s="102">
        <f>IFERROR(ROWS($IL$8:IL93)," ")</f>
        <v>86</v>
      </c>
      <c r="MS93" s="103" t="str">
        <f>IFERROR(IF([1]Checklist!$C$13='GenInfo (2)'!E93,'GenInfo (2)'!MR93," ")," ")</f>
        <v xml:space="preserve"> </v>
      </c>
      <c r="MT93" s="104" t="str">
        <f>IFERROR(SMALL($MS$8:$MS$94,ROWS($IL$8:IL93))," ")</f>
        <v xml:space="preserve"> </v>
      </c>
      <c r="MU93" s="102">
        <f>IFERROR(ROWS($IL$8:IL93)," ")</f>
        <v>86</v>
      </c>
      <c r="MV93" s="103" t="str">
        <f>IFERROR(IF([1]Checklist!$C$14='GenInfo (2)'!E93,'GenInfo (2)'!MU93," ")," ")</f>
        <v xml:space="preserve"> </v>
      </c>
      <c r="MW93" s="104" t="str">
        <f>IFERROR(SMALL($MV$8:$MV$94,ROWS($IL$8:IL93))," ")</f>
        <v xml:space="preserve"> </v>
      </c>
      <c r="MX93" s="102">
        <f>IFERROR(ROWS($IL$8:IL93)," ")</f>
        <v>86</v>
      </c>
      <c r="MY93" s="103" t="str">
        <f>IFERROR(IF([1]Checklist!$C$15='GenInfo (2)'!E93,'GenInfo (2)'!MX93," ")," ")</f>
        <v xml:space="preserve"> </v>
      </c>
      <c r="MZ93" s="104" t="str">
        <f>IFERROR(SMALL($MY$8:$MY$94,ROWS($IL$8:IL93))," ")</f>
        <v xml:space="preserve"> </v>
      </c>
      <c r="NA93" s="102">
        <f>IFERROR(ROWS($IL$8:IL93)," ")</f>
        <v>86</v>
      </c>
      <c r="NB93" s="103" t="str">
        <f>IFERROR(IF([1]Checklist!$C$16='GenInfo (2)'!E93,'GenInfo (2)'!NA93," ")," ")</f>
        <v xml:space="preserve"> </v>
      </c>
      <c r="NC93" s="104" t="str">
        <f>IFERROR(SMALL($NB$8:$NB$94,ROWS($IL$8:IL93))," ")</f>
        <v xml:space="preserve"> </v>
      </c>
      <c r="ND93" s="102">
        <f>IFERROR(ROWS($IL$8:IL93)," ")</f>
        <v>86</v>
      </c>
      <c r="NE93" s="103" t="str">
        <f>IFERROR(IF([1]Checklist!$C$17='GenInfo (2)'!E93,'GenInfo (2)'!ND93," ")," ")</f>
        <v xml:space="preserve"> </v>
      </c>
      <c r="NF93" s="104" t="str">
        <f>IFERROR(SMALL($NE$8:$NE$94,ROWS($IL$8:IL93))," ")</f>
        <v xml:space="preserve"> </v>
      </c>
    </row>
    <row r="94" spans="5:370" ht="14.25" x14ac:dyDescent="0.45">
      <c r="E94" s="64"/>
      <c r="F94" s="63"/>
      <c r="G94" s="64"/>
      <c r="H94" s="63"/>
      <c r="I94" s="63"/>
      <c r="J94" s="63"/>
      <c r="K94" s="62"/>
      <c r="L94" s="67"/>
      <c r="M94" s="67"/>
      <c r="N94" s="67"/>
      <c r="O94" s="68"/>
      <c r="P94" s="67"/>
      <c r="Q94" s="67"/>
      <c r="R94" s="63"/>
      <c r="S94" s="67"/>
      <c r="T94" s="63"/>
      <c r="U94" s="62"/>
      <c r="V94" s="63"/>
      <c r="W94" s="63"/>
      <c r="X94" s="69"/>
      <c r="Y94" s="63"/>
      <c r="Z94" s="69"/>
      <c r="AA94" s="62"/>
      <c r="AB94" s="63"/>
      <c r="AC94" s="63"/>
      <c r="AD94" s="63"/>
      <c r="AE94" s="63"/>
      <c r="AF94" s="63"/>
      <c r="AG94" s="63"/>
      <c r="AH94" s="63"/>
      <c r="AI94" s="63"/>
      <c r="AJ94" s="63"/>
      <c r="AK94" s="62"/>
      <c r="AL94" s="71">
        <f t="shared" si="95"/>
        <v>0</v>
      </c>
      <c r="AM94" s="71">
        <f t="shared" ca="1" si="137"/>
        <v>122</v>
      </c>
      <c r="AN94" s="63"/>
      <c r="AO94" s="72" t="str">
        <f t="shared" ca="1" si="97"/>
        <v/>
      </c>
      <c r="AP94" s="63"/>
      <c r="AQ94" s="73"/>
      <c r="AR94" s="70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2"/>
      <c r="BE94" s="71">
        <f t="shared" si="144"/>
        <v>0</v>
      </c>
      <c r="BF94" s="71">
        <f t="shared" si="144"/>
        <v>0</v>
      </c>
      <c r="BG94" s="71">
        <f t="shared" si="99"/>
        <v>0</v>
      </c>
      <c r="BH94" s="74" t="str">
        <f t="shared" si="100"/>
        <v xml:space="preserve"> </v>
      </c>
      <c r="BI94" s="75" t="str">
        <f t="shared" si="101"/>
        <v xml:space="preserve"> </v>
      </c>
      <c r="BJ94" s="71">
        <f t="shared" si="102"/>
        <v>0</v>
      </c>
      <c r="BK94" s="75" t="str">
        <f t="shared" si="103"/>
        <v xml:space="preserve"> </v>
      </c>
      <c r="BL94" s="76">
        <f t="shared" si="145"/>
        <v>0</v>
      </c>
      <c r="BM94" s="77">
        <f t="shared" si="145"/>
        <v>0</v>
      </c>
      <c r="BN94" s="78"/>
      <c r="BO94" s="67"/>
      <c r="BP94" s="67"/>
      <c r="BQ94" s="63"/>
      <c r="BR94" s="63"/>
      <c r="BS94" s="74" t="str">
        <f t="shared" si="108"/>
        <v xml:space="preserve"> </v>
      </c>
      <c r="BT94" s="79" t="s">
        <v>221</v>
      </c>
      <c r="BU94" s="79" t="s">
        <v>221</v>
      </c>
      <c r="BV94" s="80">
        <v>0</v>
      </c>
      <c r="BW94" s="81">
        <v>0</v>
      </c>
      <c r="BX94" s="82"/>
      <c r="BY94" s="83"/>
      <c r="BZ94" s="83"/>
      <c r="CA94" s="84"/>
      <c r="CB94" s="84"/>
      <c r="CC94" s="74" t="str">
        <f t="shared" si="109"/>
        <v xml:space="preserve"> </v>
      </c>
      <c r="CD94" s="79" t="s">
        <v>221</v>
      </c>
      <c r="CE94" s="81">
        <v>0</v>
      </c>
      <c r="CF94" s="85"/>
      <c r="CG94" s="85"/>
      <c r="CH94" s="85"/>
      <c r="CI94" s="78"/>
      <c r="CJ94" s="78"/>
      <c r="CK94" s="74" t="str">
        <f t="shared" si="110"/>
        <v xml:space="preserve"> </v>
      </c>
      <c r="CL94" s="79" t="s">
        <v>221</v>
      </c>
      <c r="CM94" s="79" t="s">
        <v>221</v>
      </c>
      <c r="CN94" s="86" t="s">
        <v>221</v>
      </c>
      <c r="CO94" s="81">
        <v>0</v>
      </c>
      <c r="CP94" s="87"/>
      <c r="CQ94" s="83"/>
      <c r="CR94" s="83"/>
      <c r="CS94" s="82"/>
      <c r="CT94" s="82"/>
      <c r="CU94" s="74" t="str">
        <f t="shared" si="111"/>
        <v xml:space="preserve"> </v>
      </c>
      <c r="CV94" s="79" t="s">
        <v>221</v>
      </c>
      <c r="CW94" s="79" t="s">
        <v>221</v>
      </c>
      <c r="CX94" s="88" t="s">
        <v>221</v>
      </c>
      <c r="CY94" s="81">
        <v>0</v>
      </c>
      <c r="CZ94" s="89"/>
      <c r="DA94" s="67"/>
      <c r="DB94" s="67"/>
      <c r="DC94" s="78"/>
      <c r="DD94" s="78"/>
      <c r="DE94" s="74" t="str">
        <f t="shared" si="112"/>
        <v xml:space="preserve"> </v>
      </c>
      <c r="DF94" s="79" t="s">
        <v>221</v>
      </c>
      <c r="DG94" s="79" t="s">
        <v>221</v>
      </c>
      <c r="DH94" s="79" t="s">
        <v>221</v>
      </c>
      <c r="DI94" s="81">
        <v>0</v>
      </c>
      <c r="DJ94" s="87"/>
      <c r="DK94" s="83"/>
      <c r="DL94" s="83"/>
      <c r="DM94" s="82"/>
      <c r="DN94" s="82"/>
      <c r="DO94" s="74" t="str">
        <f t="shared" si="113"/>
        <v xml:space="preserve"> </v>
      </c>
      <c r="DP94" s="79" t="s">
        <v>221</v>
      </c>
      <c r="DQ94" s="79" t="s">
        <v>221</v>
      </c>
      <c r="DR94" s="79" t="s">
        <v>221</v>
      </c>
      <c r="DS94" s="81">
        <v>0</v>
      </c>
      <c r="DT94" s="89"/>
      <c r="DU94" s="67"/>
      <c r="DV94" s="67"/>
      <c r="DW94" s="78"/>
      <c r="DX94" s="78"/>
      <c r="DY94" s="74" t="str">
        <f t="shared" si="114"/>
        <v xml:space="preserve"> </v>
      </c>
      <c r="DZ94" s="94"/>
      <c r="EA94" s="94"/>
      <c r="EB94" s="94"/>
      <c r="EC94" s="94"/>
      <c r="ED94" s="87"/>
      <c r="EE94" s="83"/>
      <c r="EF94" s="83"/>
      <c r="EG94" s="82"/>
      <c r="EH94" s="82"/>
      <c r="EI94" s="74" t="str">
        <f t="shared" si="105"/>
        <v xml:space="preserve"> </v>
      </c>
      <c r="EJ94" s="92"/>
      <c r="EK94" s="92"/>
      <c r="EL94" s="92"/>
      <c r="EM94" s="92"/>
      <c r="EN94" s="89"/>
      <c r="EO94" s="67"/>
      <c r="EP94" s="67"/>
      <c r="EQ94" s="78"/>
      <c r="ER94" s="78"/>
      <c r="ES94" s="74" t="str">
        <f t="shared" si="106"/>
        <v xml:space="preserve"> </v>
      </c>
      <c r="ET94" s="94"/>
      <c r="EU94" s="94"/>
      <c r="EV94" s="94">
        <v>0</v>
      </c>
      <c r="EW94" s="76">
        <v>0</v>
      </c>
      <c r="EX94" s="87"/>
      <c r="EY94" s="83"/>
      <c r="EZ94" s="83"/>
      <c r="FA94" s="82"/>
      <c r="FB94" s="82"/>
      <c r="FC94" s="74" t="str">
        <f t="shared" si="115"/>
        <v xml:space="preserve"> </v>
      </c>
      <c r="FD94" s="92"/>
      <c r="FE94" s="92"/>
      <c r="FF94" s="92"/>
      <c r="FG94" s="92"/>
      <c r="FH94" s="76">
        <f t="shared" si="116"/>
        <v>0</v>
      </c>
      <c r="FI94" s="89"/>
      <c r="FJ94" s="67"/>
      <c r="FK94" s="67"/>
      <c r="FL94" s="78"/>
      <c r="FM94" s="78"/>
      <c r="FN94" s="74" t="str">
        <f t="shared" si="117"/>
        <v xml:space="preserve"> </v>
      </c>
      <c r="FO94" s="94"/>
      <c r="FP94" s="94"/>
      <c r="FQ94" s="94"/>
      <c r="FR94" s="94"/>
      <c r="FS94" s="76">
        <f t="shared" si="118"/>
        <v>0</v>
      </c>
      <c r="FT94" s="87"/>
      <c r="FU94" s="83"/>
      <c r="FV94" s="83"/>
      <c r="FW94" s="82"/>
      <c r="FX94" s="82"/>
      <c r="FY94" s="74" t="str">
        <f t="shared" si="119"/>
        <v xml:space="preserve"> </v>
      </c>
      <c r="FZ94" s="92"/>
      <c r="GA94" s="92"/>
      <c r="GB94" s="92"/>
      <c r="GC94" s="92"/>
      <c r="GD94" s="76">
        <f t="shared" si="120"/>
        <v>0</v>
      </c>
      <c r="GE94" s="62"/>
      <c r="GF94" s="96" t="s">
        <v>221</v>
      </c>
      <c r="GG94" s="96" t="s">
        <v>221</v>
      </c>
      <c r="GH94" s="63"/>
      <c r="GI94" s="63"/>
      <c r="GJ94" s="63"/>
      <c r="GK94" s="97">
        <f t="shared" si="146"/>
        <v>0</v>
      </c>
      <c r="GL94" s="98"/>
      <c r="GM94" s="98"/>
      <c r="GN94" s="97">
        <f t="shared" si="121"/>
        <v>0</v>
      </c>
      <c r="GO94" s="97" t="str">
        <f t="shared" si="122"/>
        <v xml:space="preserve"> </v>
      </c>
      <c r="GP94" s="62"/>
      <c r="GQ94" s="63"/>
      <c r="GR94" s="63"/>
      <c r="GS94" s="63"/>
      <c r="GT94" s="63"/>
      <c r="GU94" s="63"/>
      <c r="GV94" s="63"/>
      <c r="GW94" s="63"/>
      <c r="GX94" s="63"/>
      <c r="GY94" s="65" t="str">
        <f t="shared" si="138"/>
        <v/>
      </c>
      <c r="GZ94" s="65" t="str">
        <f t="shared" si="139"/>
        <v/>
      </c>
      <c r="HA94" s="63"/>
      <c r="HB94" s="63"/>
      <c r="HC94" s="63"/>
      <c r="HD94" s="63"/>
      <c r="HE94" s="63"/>
      <c r="HF94" s="63"/>
      <c r="HG94" s="63"/>
      <c r="HH94" s="63"/>
      <c r="HI94" s="63"/>
      <c r="HJ94" s="63"/>
      <c r="HK94" s="63"/>
      <c r="HL94" s="65" t="str">
        <f t="shared" si="140"/>
        <v/>
      </c>
      <c r="HM94" s="65" t="str">
        <f t="shared" si="124"/>
        <v/>
      </c>
      <c r="HN94" s="65" t="str">
        <f t="shared" si="141"/>
        <v/>
      </c>
      <c r="HO94" s="65" t="str">
        <f t="shared" si="142"/>
        <v/>
      </c>
      <c r="HP94" s="99" t="str">
        <f t="shared" si="130"/>
        <v/>
      </c>
      <c r="HQ94" s="99" t="str">
        <f t="shared" si="143"/>
        <v/>
      </c>
      <c r="HR94" s="63"/>
      <c r="HS94" s="63"/>
      <c r="HT94" s="63"/>
      <c r="HU94" s="63"/>
      <c r="HV94" s="63"/>
      <c r="HW94" s="63"/>
      <c r="HX94" s="63"/>
      <c r="HY94" s="63"/>
      <c r="HZ94" s="63"/>
      <c r="IA94" s="63"/>
      <c r="IB94" s="63"/>
      <c r="IC94" s="63"/>
      <c r="ID94" s="63"/>
      <c r="IE94" s="63"/>
      <c r="IF94" s="63"/>
      <c r="IG94" s="63"/>
      <c r="IH94" s="63"/>
      <c r="II94" s="63"/>
      <c r="IJ94" s="63"/>
      <c r="IK94" s="63"/>
      <c r="IL94" s="63"/>
      <c r="IM94" s="62"/>
      <c r="IN94" s="101"/>
      <c r="IO94" s="101"/>
      <c r="IP94" s="63"/>
      <c r="IQ94" s="63"/>
      <c r="IR94" s="63"/>
      <c r="IS94" s="63"/>
      <c r="IT94" s="63"/>
      <c r="IU94" s="63"/>
      <c r="IV94" s="63"/>
      <c r="IW94" s="63"/>
      <c r="IX94" s="63"/>
      <c r="IY94" s="63"/>
      <c r="IZ94" s="63"/>
      <c r="JA94" s="65">
        <f t="shared" si="107"/>
        <v>0</v>
      </c>
      <c r="JB94" s="63"/>
      <c r="JC94" s="101"/>
      <c r="JD94" s="101"/>
      <c r="JE94" s="63"/>
      <c r="JF94" s="63"/>
      <c r="JG94" s="63"/>
      <c r="JH94" s="63"/>
      <c r="JI94" s="63"/>
      <c r="JJ94" s="63"/>
      <c r="JK94" s="63"/>
      <c r="JL94" s="63"/>
      <c r="JM94" s="63"/>
      <c r="JN94" s="63"/>
      <c r="JO94" s="63"/>
      <c r="JP94" s="65">
        <f t="shared" si="133"/>
        <v>0</v>
      </c>
      <c r="JQ94" s="63"/>
      <c r="LM94" s="205"/>
      <c r="LN94" s="102">
        <f>IFERROR(ROWS($IL$8:IL94)," ")</f>
        <v>87</v>
      </c>
      <c r="LO94" s="103" t="str">
        <f>IFERROR(IF([1]Checklist!$C$3='GenInfo (2)'!E94,'GenInfo (2)'!LN94," ")," ")</f>
        <v xml:space="preserve"> </v>
      </c>
      <c r="LP94" s="104" t="str">
        <f>IFERROR(SMALL($LO$8:$LO$94,ROWS($IL$8:IL94))," ")</f>
        <v xml:space="preserve"> </v>
      </c>
      <c r="LQ94" s="102">
        <f>IFERROR(ROWS($IL$8:IL94)," ")</f>
        <v>87</v>
      </c>
      <c r="LR94" s="103" t="str">
        <f>IFERROR(IF([1]Checklist!$C$4='GenInfo (2)'!E94,'GenInfo (2)'!LQ94," ")," ")</f>
        <v xml:space="preserve"> </v>
      </c>
      <c r="LS94" s="104" t="str">
        <f>IFERROR(SMALL($LR$8:$LR$94,ROWS($IL$8:IL94))," ")</f>
        <v xml:space="preserve"> </v>
      </c>
      <c r="LT94" s="102">
        <f>IFERROR(ROWS($IL$8:IL94)," ")</f>
        <v>87</v>
      </c>
      <c r="LU94" s="103" t="str">
        <f>IFERROR(IF([1]Checklist!$C$5='GenInfo (2)'!E94,'GenInfo (2)'!LT94," ")," ")</f>
        <v xml:space="preserve"> </v>
      </c>
      <c r="LV94" s="104" t="str">
        <f>IFERROR(SMALL($LU$8:$LU$94,ROWS($IL$8:IL94))," ")</f>
        <v xml:space="preserve"> </v>
      </c>
      <c r="LW94" s="102">
        <f>IFERROR(ROWS($IL$8:IL94)," ")</f>
        <v>87</v>
      </c>
      <c r="LX94" s="103" t="str">
        <f>IFERROR(IF([1]Checklist!$C$6='GenInfo (2)'!E94,'GenInfo (2)'!LW94," ")," ")</f>
        <v xml:space="preserve"> </v>
      </c>
      <c r="LY94" s="104" t="str">
        <f>IFERROR(SMALL($LX$8:$LX$94,ROWS($IL$8:IL94))," ")</f>
        <v xml:space="preserve"> </v>
      </c>
      <c r="LZ94" s="102">
        <f>IFERROR(ROWS($IL$8:IL94)," ")</f>
        <v>87</v>
      </c>
      <c r="MA94" s="103" t="str">
        <f>IFERROR(IF([1]Checklist!$C$7='GenInfo (2)'!E94,'GenInfo (2)'!LZ94," ")," ")</f>
        <v xml:space="preserve"> </v>
      </c>
      <c r="MB94" s="104" t="str">
        <f>IFERROR(SMALL($MA$8:$MA$94,ROWS($IL$8:IL94))," ")</f>
        <v xml:space="preserve"> </v>
      </c>
      <c r="MC94" s="102">
        <f>IFERROR(ROWS($IL$8:IL94)," ")</f>
        <v>87</v>
      </c>
      <c r="MD94" s="103" t="str">
        <f>IFERROR(IF([1]Checklist!$C$8='GenInfo (2)'!E94,'GenInfo (2)'!MC94," ")," ")</f>
        <v xml:space="preserve"> </v>
      </c>
      <c r="ME94" s="104" t="str">
        <f>IFERROR(SMALL($MD$8:$MD$94,ROWS($IL$8:IL94))," ")</f>
        <v xml:space="preserve"> </v>
      </c>
      <c r="MF94" s="102">
        <f>IFERROR(ROWS($IL$8:IL94)," ")</f>
        <v>87</v>
      </c>
      <c r="MG94" s="103" t="str">
        <f>IFERROR(IF([1]Checklist!$C$9='GenInfo (2)'!E94,'GenInfo (2)'!MF94," ")," ")</f>
        <v xml:space="preserve"> </v>
      </c>
      <c r="MH94" s="104" t="str">
        <f>IFERROR(SMALL($MG$8:$MG$94,ROWS($IL$8:IL94))," ")</f>
        <v xml:space="preserve"> </v>
      </c>
      <c r="MI94" s="102">
        <f>IFERROR(ROWS($IL$8:$IL94)," ")</f>
        <v>87</v>
      </c>
      <c r="MJ94" s="103" t="str">
        <f>IFERROR(IF([1]Checklist!$C$10='GenInfo (2)'!E94,'GenInfo (2)'!MI94," ")," ")</f>
        <v xml:space="preserve"> </v>
      </c>
      <c r="MK94" s="104" t="str">
        <f>IFERROR(SMALL($MJ$8:$MJ$94,ROWS($IL$8:IL94))," ")</f>
        <v xml:space="preserve"> </v>
      </c>
      <c r="ML94" s="102">
        <f>IFERROR(ROWS($IL$8:IL94)," ")</f>
        <v>87</v>
      </c>
      <c r="MM94" s="103" t="str">
        <f>IFERROR(IF([1]Checklist!$C$11='GenInfo (2)'!E94,'GenInfo (2)'!ML94," ")," ")</f>
        <v xml:space="preserve"> </v>
      </c>
      <c r="MN94" s="104" t="str">
        <f>IFERROR(SMALL($MM$8:$MM$94,ROWS($IL$8:IL94))," ")</f>
        <v xml:space="preserve"> </v>
      </c>
      <c r="MO94" s="102">
        <f>IFERROR(ROWS($IL$8:IL94)," ")</f>
        <v>87</v>
      </c>
      <c r="MP94" s="103" t="str">
        <f>IFERROR(IF([1]Checklist!$C$12='GenInfo (2)'!E94,'GenInfo (2)'!MO94," ")," ")</f>
        <v xml:space="preserve"> </v>
      </c>
      <c r="MQ94" s="104" t="str">
        <f>IFERROR(SMALL($MP$8:$MP$94,ROWS($IL$8:IL94))," ")</f>
        <v xml:space="preserve"> </v>
      </c>
      <c r="MR94" s="102">
        <f>IFERROR(ROWS($IL$8:IL94)," ")</f>
        <v>87</v>
      </c>
      <c r="MS94" s="103" t="str">
        <f>IFERROR(IF([1]Checklist!$C$13='GenInfo (2)'!E94,'GenInfo (2)'!MR94," ")," ")</f>
        <v xml:space="preserve"> </v>
      </c>
      <c r="MT94" s="104" t="str">
        <f>IFERROR(SMALL($MS$8:$MS$94,ROWS($IL$8:IL94))," ")</f>
        <v xml:space="preserve"> </v>
      </c>
      <c r="MU94" s="102">
        <f>IFERROR(ROWS($IL$8:IL94)," ")</f>
        <v>87</v>
      </c>
      <c r="MV94" s="103" t="str">
        <f>IFERROR(IF([1]Checklist!$C$14='GenInfo (2)'!E94,'GenInfo (2)'!MU94," ")," ")</f>
        <v xml:space="preserve"> </v>
      </c>
      <c r="MW94" s="104" t="str">
        <f>IFERROR(SMALL($MV$8:$MV$94,ROWS($IL$8:IL94))," ")</f>
        <v xml:space="preserve"> </v>
      </c>
      <c r="MX94" s="102">
        <f>IFERROR(ROWS($IL$8:IL94)," ")</f>
        <v>87</v>
      </c>
      <c r="MY94" s="103" t="str">
        <f>IFERROR(IF([1]Checklist!$C$15='GenInfo (2)'!E94,'GenInfo (2)'!MX94," ")," ")</f>
        <v xml:space="preserve"> </v>
      </c>
      <c r="MZ94" s="104" t="str">
        <f>IFERROR(SMALL($MY$8:$MY$94,ROWS($IL$8:IL94))," ")</f>
        <v xml:space="preserve"> </v>
      </c>
      <c r="NA94" s="102">
        <f>IFERROR(ROWS($IL$8:IL94)," ")</f>
        <v>87</v>
      </c>
      <c r="NB94" s="103" t="str">
        <f>IFERROR(IF([1]Checklist!$C$16='GenInfo (2)'!E94,'GenInfo (2)'!NA94," ")," ")</f>
        <v xml:space="preserve"> </v>
      </c>
      <c r="NC94" s="104" t="str">
        <f>IFERROR(SMALL($NB$8:$NB$94,ROWS($IL$8:IL94))," ")</f>
        <v xml:space="preserve"> </v>
      </c>
      <c r="ND94" s="102">
        <f>IFERROR(ROWS($IL$8:IL94)," ")</f>
        <v>87</v>
      </c>
      <c r="NE94" s="103" t="str">
        <f>IFERROR(IF([1]Checklist!$C$17='GenInfo (2)'!E94,'GenInfo (2)'!ND94," ")," ")</f>
        <v xml:space="preserve"> </v>
      </c>
      <c r="NF94" s="104" t="str">
        <f>IFERROR(SMALL($NE$8:$NE$94,ROWS($IL$8:IL94))," ")</f>
        <v xml:space="preserve"> </v>
      </c>
    </row>
    <row r="113" spans="215:237" ht="15" customHeight="1" x14ac:dyDescent="0.45">
      <c r="HG113" s="37" t="s">
        <v>213</v>
      </c>
      <c r="IC113" s="37" t="s">
        <v>213</v>
      </c>
    </row>
  </sheetData>
  <sheetProtection formatCells="0" formatColumns="0" formatRows="0" insertColumns="0" insertRows="0" insertHyperlinks="0" deleteColumns="0" deleteRows="0" sort="0" autoFilter="0" pivotTables="0"/>
  <autoFilter ref="A7:NF94" xr:uid="{F6B275EF-A4A3-1442-8389-FC3A56E91A6D}">
    <filterColumn colId="325" showButton="0"/>
    <filterColumn colId="326" showButton="0"/>
    <filterColumn colId="328" showButton="0"/>
    <filterColumn colId="329" showButton="0"/>
    <filterColumn colId="331" showButton="0"/>
    <filterColumn colId="332" showButton="0"/>
    <filterColumn colId="334" showButton="0"/>
    <filterColumn colId="335" showButton="0"/>
    <filterColumn colId="337" showButton="0"/>
    <filterColumn colId="338" showButton="0"/>
    <filterColumn colId="340" showButton="0"/>
    <filterColumn colId="341" showButton="0"/>
    <filterColumn colId="343" showButton="0"/>
    <filterColumn colId="344" showButton="0"/>
    <filterColumn colId="346" showButton="0"/>
    <filterColumn colId="347" showButton="0"/>
    <filterColumn colId="349" showButton="0"/>
    <filterColumn colId="350" showButton="0"/>
    <filterColumn colId="352" showButton="0"/>
    <filterColumn colId="353" showButton="0"/>
    <filterColumn colId="355" showButton="0"/>
    <filterColumn colId="356" showButton="0"/>
    <filterColumn colId="358" showButton="0"/>
    <filterColumn colId="359" showButton="0"/>
    <filterColumn colId="361" showButton="0"/>
    <filterColumn colId="362" showButton="0"/>
    <filterColumn colId="364" showButton="0"/>
    <filterColumn colId="365" showButton="0"/>
    <filterColumn colId="367" showButton="0"/>
    <filterColumn colId="368" showButton="0"/>
  </autoFilter>
  <mergeCells count="161">
    <mergeCell ref="A5:B6"/>
    <mergeCell ref="C5:C6"/>
    <mergeCell ref="D5:D6"/>
    <mergeCell ref="II5:II6"/>
    <mergeCell ref="IJ5:IJ6"/>
    <mergeCell ref="IK5:IK6"/>
    <mergeCell ref="IL5:IL6"/>
    <mergeCell ref="IO5:JB5"/>
    <mergeCell ref="JC5:JQ5"/>
    <mergeCell ref="IC5:IC6"/>
    <mergeCell ref="ID5:ID6"/>
    <mergeCell ref="IE5:IE6"/>
    <mergeCell ref="IF5:IF6"/>
    <mergeCell ref="IG5:IG6"/>
    <mergeCell ref="IH5:IH6"/>
    <mergeCell ref="HW5:HW6"/>
    <mergeCell ref="HX5:HX6"/>
    <mergeCell ref="HY5:HY6"/>
    <mergeCell ref="HZ5:HZ6"/>
    <mergeCell ref="IA5:IA6"/>
    <mergeCell ref="IB5:IB6"/>
    <mergeCell ref="HQ5:HQ6"/>
    <mergeCell ref="HR5:HR6"/>
    <mergeCell ref="HS5:HS6"/>
    <mergeCell ref="HT5:HT6"/>
    <mergeCell ref="HU5:HU6"/>
    <mergeCell ref="HV5:HV6"/>
    <mergeCell ref="HK5:HK6"/>
    <mergeCell ref="HL5:HL6"/>
    <mergeCell ref="HM5:HM6"/>
    <mergeCell ref="HN5:HN6"/>
    <mergeCell ref="HO5:HO6"/>
    <mergeCell ref="HP5:HP6"/>
    <mergeCell ref="HE5:HE6"/>
    <mergeCell ref="HF5:HF6"/>
    <mergeCell ref="HG5:HG6"/>
    <mergeCell ref="HH5:HH6"/>
    <mergeCell ref="HI5:HI6"/>
    <mergeCell ref="HJ5:HJ6"/>
    <mergeCell ref="HB5:HB6"/>
    <mergeCell ref="HC5:HC6"/>
    <mergeCell ref="HD5:HD6"/>
    <mergeCell ref="GS5:GS6"/>
    <mergeCell ref="GT5:GT6"/>
    <mergeCell ref="GU5:GU6"/>
    <mergeCell ref="GV5:GV6"/>
    <mergeCell ref="GW5:GW6"/>
    <mergeCell ref="GX5:GX6"/>
    <mergeCell ref="GJ5:GJ6"/>
    <mergeCell ref="GK5:GK6"/>
    <mergeCell ref="GL5:GL6"/>
    <mergeCell ref="GM5:GM6"/>
    <mergeCell ref="GN5:GN6"/>
    <mergeCell ref="GO5:GO6"/>
    <mergeCell ref="FI5:FS5"/>
    <mergeCell ref="FT5:GD5"/>
    <mergeCell ref="GF5:GF6"/>
    <mergeCell ref="GG5:GG6"/>
    <mergeCell ref="GH5:GH6"/>
    <mergeCell ref="GI5:GI6"/>
    <mergeCell ref="CZ5:DI5"/>
    <mergeCell ref="DJ5:DS5"/>
    <mergeCell ref="DT5:EC5"/>
    <mergeCell ref="ED5:EM5"/>
    <mergeCell ref="EN5:EW5"/>
    <mergeCell ref="EX5:FH5"/>
    <mergeCell ref="BL5:BL6"/>
    <mergeCell ref="BM5:BM6"/>
    <mergeCell ref="BN5:BW5"/>
    <mergeCell ref="BX5:CE5"/>
    <mergeCell ref="CF5:CO5"/>
    <mergeCell ref="CP5:CY5"/>
    <mergeCell ref="BF5:BF6"/>
    <mergeCell ref="BG5:BG6"/>
    <mergeCell ref="BH5:BH6"/>
    <mergeCell ref="BI5:BI6"/>
    <mergeCell ref="BJ5:BJ6"/>
    <mergeCell ref="BK5:BK6"/>
    <mergeCell ref="AY5:AY6"/>
    <mergeCell ref="AZ5:AZ6"/>
    <mergeCell ref="BA5:BA6"/>
    <mergeCell ref="BB5:BB6"/>
    <mergeCell ref="BC5:BC6"/>
    <mergeCell ref="BE5:BE6"/>
    <mergeCell ref="AS5:AS6"/>
    <mergeCell ref="AT5:AT6"/>
    <mergeCell ref="AU5:AU6"/>
    <mergeCell ref="AV5:AV6"/>
    <mergeCell ref="AW5:AW6"/>
    <mergeCell ref="AX5:AX6"/>
    <mergeCell ref="AJ5:AJ6"/>
    <mergeCell ref="AL5:AL6"/>
    <mergeCell ref="AM5:AM6"/>
    <mergeCell ref="AN5:AN6"/>
    <mergeCell ref="AP5:AP6"/>
    <mergeCell ref="AR5:AR6"/>
    <mergeCell ref="AG5:AG6"/>
    <mergeCell ref="AH5:AH6"/>
    <mergeCell ref="AI5:AI6"/>
    <mergeCell ref="W5:W6"/>
    <mergeCell ref="X5:X6"/>
    <mergeCell ref="Y5:Y6"/>
    <mergeCell ref="Z5:Z6"/>
    <mergeCell ref="AB5:AB6"/>
    <mergeCell ref="AC5:AC6"/>
    <mergeCell ref="I5:I6"/>
    <mergeCell ref="J5:J6"/>
    <mergeCell ref="L5:L6"/>
    <mergeCell ref="M5:M6"/>
    <mergeCell ref="N5:N6"/>
    <mergeCell ref="O5:O6"/>
    <mergeCell ref="AD5:AD6"/>
    <mergeCell ref="AE5:AE6"/>
    <mergeCell ref="AF5:AF6"/>
    <mergeCell ref="E5:E6"/>
    <mergeCell ref="F5:F6"/>
    <mergeCell ref="G5:G6"/>
    <mergeCell ref="H5:H6"/>
    <mergeCell ref="MU1:MW7"/>
    <mergeCell ref="MX1:MZ7"/>
    <mergeCell ref="NA1:NC7"/>
    <mergeCell ref="BN1:CO4"/>
    <mergeCell ref="CP1:DS4"/>
    <mergeCell ref="EX1:GD4"/>
    <mergeCell ref="GE1:GO4"/>
    <mergeCell ref="E1:J4"/>
    <mergeCell ref="K1:T4"/>
    <mergeCell ref="U1:Z4"/>
    <mergeCell ref="AA1:AJ4"/>
    <mergeCell ref="AK1:BC4"/>
    <mergeCell ref="BD1:BL4"/>
    <mergeCell ref="P5:P6"/>
    <mergeCell ref="Q5:Q6"/>
    <mergeCell ref="R5:R6"/>
    <mergeCell ref="S5:S6"/>
    <mergeCell ref="T5:T6"/>
    <mergeCell ref="V5:V6"/>
    <mergeCell ref="ND1:NF7"/>
    <mergeCell ref="GP4:HK4"/>
    <mergeCell ref="HL4:HQ4"/>
    <mergeCell ref="HR4:IC4"/>
    <mergeCell ref="ID4:IL4"/>
    <mergeCell ref="GQ5:GQ6"/>
    <mergeCell ref="GR5:GR6"/>
    <mergeCell ref="MC1:ME7"/>
    <mergeCell ref="MF1:MH7"/>
    <mergeCell ref="MI1:MK7"/>
    <mergeCell ref="ML1:MN7"/>
    <mergeCell ref="MO1:MQ7"/>
    <mergeCell ref="MR1:MT7"/>
    <mergeCell ref="LM1:LM94"/>
    <mergeCell ref="LN1:LP7"/>
    <mergeCell ref="LQ1:LS7"/>
    <mergeCell ref="LT1:LV7"/>
    <mergeCell ref="LW1:LY7"/>
    <mergeCell ref="LZ1:MB7"/>
    <mergeCell ref="GP1:IL3"/>
    <mergeCell ref="IM1:JQ4"/>
    <mergeCell ref="GY5:GY6"/>
    <mergeCell ref="GZ5:GZ6"/>
    <mergeCell ref="HA5:HA6"/>
  </mergeCells>
  <phoneticPr fontId="18" type="noConversion"/>
  <conditionalFormatting sqref="AM8:AM94">
    <cfRule type="beginsWith" dxfId="70" priority="58" operator="beginsWith" text="20y12">
      <formula>LEFT((AM8),LEN("20y12"))=("20y12")</formula>
    </cfRule>
  </conditionalFormatting>
  <conditionalFormatting sqref="AM8:AM94">
    <cfRule type="beginsWith" dxfId="69" priority="59" operator="beginsWith" text="20y11">
      <formula>LEFT((AM8),LEN("20y11"))=("20y11")</formula>
    </cfRule>
  </conditionalFormatting>
  <conditionalFormatting sqref="AM8:AM94">
    <cfRule type="beginsWith" dxfId="68" priority="60" operator="beginsWith" text="20y10">
      <formula>LEFT((AM8),LEN("20y10"))=("20y10")</formula>
    </cfRule>
  </conditionalFormatting>
  <conditionalFormatting sqref="AM8:AM94">
    <cfRule type="beginsWith" dxfId="67" priority="61" operator="beginsWith" text="20y9">
      <formula>LEFT((AM8),LEN("20y9"))=("20y9")</formula>
    </cfRule>
  </conditionalFormatting>
  <conditionalFormatting sqref="AM8:AM94">
    <cfRule type="beginsWith" dxfId="66" priority="62" operator="beginsWith" text="20y8">
      <formula>LEFT((AM8),LEN("20y8"))=("20y8")</formula>
    </cfRule>
  </conditionalFormatting>
  <conditionalFormatting sqref="AM8:AM94">
    <cfRule type="beginsWith" dxfId="65" priority="63" operator="beginsWith" text="20y7">
      <formula>LEFT((AM8),LEN("20y7"))=("20y7")</formula>
    </cfRule>
  </conditionalFormatting>
  <conditionalFormatting sqref="AM8:AM94">
    <cfRule type="beginsWith" dxfId="64" priority="64" operator="beginsWith" text="20y6">
      <formula>LEFT((AM8),LEN("20y6"))=("20y6")</formula>
    </cfRule>
  </conditionalFormatting>
  <conditionalFormatting sqref="AM8:AM94">
    <cfRule type="beginsWith" dxfId="63" priority="65" operator="beginsWith" text="21">
      <formula>LEFT((AM8),LEN("21"))=("21")</formula>
    </cfRule>
  </conditionalFormatting>
  <conditionalFormatting sqref="GQ5:GT5 HG5:HH5 HM5 HR5:HS5 HV5:HW5 HZ5 IC5:IF5 GY5:GZ5">
    <cfRule type="cellIs" dxfId="62" priority="55" operator="equal">
      <formula>"R"</formula>
    </cfRule>
  </conditionalFormatting>
  <conditionalFormatting sqref="GQ5:GT5 HG5:HH5 HM5 HR5:HS5 HV5:HW5 HZ5 IC5:IF5 GY5:GZ5">
    <cfRule type="cellIs" dxfId="61" priority="56" operator="equal">
      <formula>"m"</formula>
    </cfRule>
  </conditionalFormatting>
  <conditionalFormatting sqref="HR5:HS5 HV5:HW5">
    <cfRule type="cellIs" dxfId="60" priority="57" operator="equal">
      <formula>"m"</formula>
    </cfRule>
  </conditionalFormatting>
  <conditionalFormatting sqref="HI5:HJ5">
    <cfRule type="cellIs" dxfId="59" priority="53" operator="equal">
      <formula>"R"</formula>
    </cfRule>
  </conditionalFormatting>
  <conditionalFormatting sqref="HI5:HJ5">
    <cfRule type="cellIs" dxfId="58" priority="54" operator="equal">
      <formula>"m"</formula>
    </cfRule>
  </conditionalFormatting>
  <conditionalFormatting sqref="HK5">
    <cfRule type="cellIs" dxfId="57" priority="51" operator="equal">
      <formula>"R"</formula>
    </cfRule>
  </conditionalFormatting>
  <conditionalFormatting sqref="HK5">
    <cfRule type="cellIs" dxfId="56" priority="52" operator="equal">
      <formula>"m"</formula>
    </cfRule>
  </conditionalFormatting>
  <conditionalFormatting sqref="HO5">
    <cfRule type="cellIs" dxfId="55" priority="49" operator="equal">
      <formula>"R"</formula>
    </cfRule>
  </conditionalFormatting>
  <conditionalFormatting sqref="HO5">
    <cfRule type="cellIs" dxfId="54" priority="50" operator="equal">
      <formula>"m"</formula>
    </cfRule>
  </conditionalFormatting>
  <conditionalFormatting sqref="HQ5">
    <cfRule type="cellIs" dxfId="53" priority="47" operator="equal">
      <formula>"R"</formula>
    </cfRule>
  </conditionalFormatting>
  <conditionalFormatting sqref="HQ5">
    <cfRule type="cellIs" dxfId="52" priority="48" operator="equal">
      <formula>"m"</formula>
    </cfRule>
  </conditionalFormatting>
  <conditionalFormatting sqref="HT5:HU5">
    <cfRule type="cellIs" dxfId="51" priority="44" operator="equal">
      <formula>"R"</formula>
    </cfRule>
  </conditionalFormatting>
  <conditionalFormatting sqref="HT5:HU5">
    <cfRule type="cellIs" dxfId="50" priority="45" operator="equal">
      <formula>"m"</formula>
    </cfRule>
  </conditionalFormatting>
  <conditionalFormatting sqref="HT5:HU5">
    <cfRule type="cellIs" dxfId="49" priority="46" operator="equal">
      <formula>"m"</formula>
    </cfRule>
  </conditionalFormatting>
  <conditionalFormatting sqref="HX5">
    <cfRule type="cellIs" dxfId="48" priority="41" operator="equal">
      <formula>"R"</formula>
    </cfRule>
  </conditionalFormatting>
  <conditionalFormatting sqref="HX5">
    <cfRule type="cellIs" dxfId="47" priority="42" operator="equal">
      <formula>"m"</formula>
    </cfRule>
  </conditionalFormatting>
  <conditionalFormatting sqref="HX5">
    <cfRule type="cellIs" dxfId="46" priority="43" operator="equal">
      <formula>"m"</formula>
    </cfRule>
  </conditionalFormatting>
  <conditionalFormatting sqref="HY5">
    <cfRule type="cellIs" dxfId="45" priority="38" operator="equal">
      <formula>"R"</formula>
    </cfRule>
  </conditionalFormatting>
  <conditionalFormatting sqref="HY5">
    <cfRule type="cellIs" dxfId="44" priority="39" operator="equal">
      <formula>"m"</formula>
    </cfRule>
  </conditionalFormatting>
  <conditionalFormatting sqref="HY5">
    <cfRule type="cellIs" dxfId="43" priority="40" operator="equal">
      <formula>"m"</formula>
    </cfRule>
  </conditionalFormatting>
  <conditionalFormatting sqref="IA5">
    <cfRule type="cellIs" dxfId="42" priority="36" operator="equal">
      <formula>"R"</formula>
    </cfRule>
  </conditionalFormatting>
  <conditionalFormatting sqref="IA5">
    <cfRule type="cellIs" dxfId="41" priority="37" operator="equal">
      <formula>"m"</formula>
    </cfRule>
  </conditionalFormatting>
  <conditionalFormatting sqref="IB5">
    <cfRule type="cellIs" dxfId="40" priority="34" operator="equal">
      <formula>"R"</formula>
    </cfRule>
  </conditionalFormatting>
  <conditionalFormatting sqref="IB5">
    <cfRule type="cellIs" dxfId="39" priority="35" operator="equal">
      <formula>"m"</formula>
    </cfRule>
  </conditionalFormatting>
  <conditionalFormatting sqref="IG5:IH5">
    <cfRule type="cellIs" dxfId="38" priority="32" operator="equal">
      <formula>"R"</formula>
    </cfRule>
  </conditionalFormatting>
  <conditionalFormatting sqref="IG5:IH5">
    <cfRule type="cellIs" dxfId="37" priority="33" operator="equal">
      <formula>"m"</formula>
    </cfRule>
  </conditionalFormatting>
  <conditionalFormatting sqref="II5:IJ5">
    <cfRule type="cellIs" dxfId="36" priority="30" operator="equal">
      <formula>"R"</formula>
    </cfRule>
  </conditionalFormatting>
  <conditionalFormatting sqref="II5:IJ5">
    <cfRule type="cellIs" dxfId="35" priority="31" operator="equal">
      <formula>"m"</formula>
    </cfRule>
  </conditionalFormatting>
  <conditionalFormatting sqref="IK5:IL5">
    <cfRule type="cellIs" dxfId="34" priority="28" operator="equal">
      <formula>"R"</formula>
    </cfRule>
  </conditionalFormatting>
  <conditionalFormatting sqref="IK5:IL5">
    <cfRule type="cellIs" dxfId="33" priority="29" operator="equal">
      <formula>"m"</formula>
    </cfRule>
  </conditionalFormatting>
  <conditionalFormatting sqref="GQ8:IL94">
    <cfRule type="cellIs" dxfId="32" priority="27" operator="equal">
      <formula>"m"</formula>
    </cfRule>
  </conditionalFormatting>
  <conditionalFormatting sqref="GU5:GX5">
    <cfRule type="cellIs" dxfId="31" priority="25" operator="equal">
      <formula>"R"</formula>
    </cfRule>
  </conditionalFormatting>
  <conditionalFormatting sqref="GU5:GX5">
    <cfRule type="cellIs" dxfId="30" priority="26" operator="equal">
      <formula>"m"</formula>
    </cfRule>
  </conditionalFormatting>
  <conditionalFormatting sqref="HC5">
    <cfRule type="cellIs" dxfId="29" priority="23" operator="equal">
      <formula>"R"</formula>
    </cfRule>
  </conditionalFormatting>
  <conditionalFormatting sqref="HC5">
    <cfRule type="cellIs" dxfId="28" priority="24" operator="equal">
      <formula>"m"</formula>
    </cfRule>
  </conditionalFormatting>
  <conditionalFormatting sqref="HD5">
    <cfRule type="cellIs" dxfId="27" priority="21" operator="equal">
      <formula>"R"</formula>
    </cfRule>
  </conditionalFormatting>
  <conditionalFormatting sqref="HD5">
    <cfRule type="cellIs" dxfId="26" priority="22" operator="equal">
      <formula>"m"</formula>
    </cfRule>
  </conditionalFormatting>
  <conditionalFormatting sqref="HE5">
    <cfRule type="cellIs" dxfId="25" priority="19" operator="equal">
      <formula>"R"</formula>
    </cfRule>
  </conditionalFormatting>
  <conditionalFormatting sqref="HE5">
    <cfRule type="cellIs" dxfId="24" priority="20" operator="equal">
      <formula>"m"</formula>
    </cfRule>
  </conditionalFormatting>
  <conditionalFormatting sqref="HF5">
    <cfRule type="cellIs" dxfId="23" priority="17" operator="equal">
      <formula>"R"</formula>
    </cfRule>
  </conditionalFormatting>
  <conditionalFormatting sqref="HF5">
    <cfRule type="cellIs" dxfId="22" priority="18" operator="equal">
      <formula>"m"</formula>
    </cfRule>
  </conditionalFormatting>
  <conditionalFormatting sqref="HA5:HB5">
    <cfRule type="cellIs" dxfId="21" priority="15" operator="equal">
      <formula>"R"</formula>
    </cfRule>
  </conditionalFormatting>
  <conditionalFormatting sqref="HA5:HB5">
    <cfRule type="cellIs" dxfId="20" priority="16" operator="equal">
      <formula>"m"</formula>
    </cfRule>
  </conditionalFormatting>
  <conditionalFormatting sqref="HL5">
    <cfRule type="cellIs" dxfId="19" priority="13" operator="equal">
      <formula>"R"</formula>
    </cfRule>
  </conditionalFormatting>
  <conditionalFormatting sqref="HL5">
    <cfRule type="cellIs" dxfId="18" priority="14" operator="equal">
      <formula>"m"</formula>
    </cfRule>
  </conditionalFormatting>
  <conditionalFormatting sqref="HN5">
    <cfRule type="cellIs" dxfId="17" priority="11" operator="equal">
      <formula>"R"</formula>
    </cfRule>
  </conditionalFormatting>
  <conditionalFormatting sqref="HN5">
    <cfRule type="cellIs" dxfId="16" priority="12" operator="equal">
      <formula>"m"</formula>
    </cfRule>
  </conditionalFormatting>
  <conditionalFormatting sqref="HP5">
    <cfRule type="cellIs" dxfId="15" priority="9" operator="equal">
      <formula>"R"</formula>
    </cfRule>
  </conditionalFormatting>
  <conditionalFormatting sqref="HP5">
    <cfRule type="cellIs" dxfId="14" priority="10" operator="equal">
      <formula>"m"</formula>
    </cfRule>
  </conditionalFormatting>
  <conditionalFormatting sqref="BS8:BS94 CC8:CC94 CK8:CK94 ES8:ES94 BK8:BK94 BH8:BH94 EI8:EI94 DY8:DY94 CU8:CU94 DE8:DE94 DO8:DO94 FY8:FY94 FN8:FN94 FC8:FC94">
    <cfRule type="cellIs" dxfId="13" priority="8" operator="lessThan">
      <formula>0.495</formula>
    </cfRule>
  </conditionalFormatting>
  <conditionalFormatting sqref="V15:W15">
    <cfRule type="cellIs" dxfId="12" priority="6" operator="equal">
      <formula>"R"</formula>
    </cfRule>
  </conditionalFormatting>
  <conditionalFormatting sqref="V15:W15">
    <cfRule type="cellIs" dxfId="11" priority="7" operator="equal">
      <formula>"m"</formula>
    </cfRule>
  </conditionalFormatting>
  <conditionalFormatting sqref="F1:F1048576">
    <cfRule type="duplicateValues" dxfId="10" priority="3"/>
  </conditionalFormatting>
  <conditionalFormatting sqref="F8:F94">
    <cfRule type="duplicateValues" dxfId="9" priority="192"/>
  </conditionalFormatting>
  <conditionalFormatting sqref="JA7 IO7:IZ94">
    <cfRule type="top10" dxfId="8" priority="194" bottom="1" rank="1"/>
    <cfRule type="top10" dxfId="7" priority="195" rank="1"/>
  </conditionalFormatting>
  <conditionalFormatting sqref="JP7 JD7:JO94">
    <cfRule type="top10" dxfId="6" priority="200" bottom="1" rank="1"/>
    <cfRule type="top10" dxfId="5" priority="201" rank="1"/>
  </conditionalFormatting>
  <conditionalFormatting sqref="I8:I94">
    <cfRule type="duplicateValues" dxfId="4" priority="206"/>
    <cfRule type="duplicateValues" dxfId="3" priority="207"/>
  </conditionalFormatting>
  <conditionalFormatting sqref="C8:C57 D10:D11">
    <cfRule type="duplicateValues" dxfId="2" priority="1"/>
  </conditionalFormatting>
  <conditionalFormatting sqref="C8:C57 D10:D11">
    <cfRule type="duplicateValues" dxfId="1" priority="2"/>
  </conditionalFormatting>
  <conditionalFormatting sqref="C5:D7">
    <cfRule type="duplicateValues" dxfId="0" priority="208"/>
  </conditionalFormatting>
  <dataValidations count="10">
    <dataValidation type="list" allowBlank="1" showInputMessage="1" showErrorMessage="1" error="Only use values in dropdown list. Thanks!" sqref="E8:E28" xr:uid="{29606015-8A13-914C-9F73-991DA6C79FA2}">
      <formula1>FY20SCHOOLS</formula1>
    </dataValidation>
    <dataValidation type="list" allowBlank="1" showInputMessage="1" showErrorMessage="1" sqref="E29:E93" xr:uid="{9B6D3ECE-D637-EA4A-AADF-8E13A52CDBAB}">
      <formula1>FY20SCHOOLS</formula1>
    </dataValidation>
    <dataValidation allowBlank="1" showInputMessage="1" showErrorMessage="1" error="This is dropdown for Referral End Status" sqref="S8:S94" xr:uid="{62D366A2-3FCD-8546-9CB0-566281EC18F4}"/>
    <dataValidation type="list" allowBlank="1" showInputMessage="1" showErrorMessage="1" sqref="AX8:AX94" xr:uid="{4746904A-E13E-D745-AD3E-E0C272CDD1B4}">
      <formula1>Grades</formula1>
    </dataValidation>
    <dataValidation type="list" errorStyle="information" allowBlank="1" showInputMessage="1" showErrorMessage="1" error="Please use item in dropdown list if applicable" sqref="Z8:Z94" xr:uid="{B18EF3F2-F1A0-C74F-ABD5-A8D25CF21203}">
      <formula1>ExitReason</formula1>
    </dataValidation>
    <dataValidation type="list" errorStyle="warning" allowBlank="1" showInputMessage="1" showErrorMessage="1" sqref="BX8:BX94 FT8:FT94 FI8:FI94 EX8:EX94 EN8:EN94 ED8:ED94 DT8:DT94 DJ8:DJ94 CZ8:CZ94 CP8:CP94" xr:uid="{57A02D82-1254-7A4C-AD2C-04F4E4831F6F}">
      <formula1>HiatusHB</formula1>
    </dataValidation>
    <dataValidation type="list" errorStyle="warning" allowBlank="1" showInputMessage="1" showErrorMessage="1" error="This is the Hiatus/Homebound status. You may enter another value but please use from the dropdown list if applicable" sqref="CF8:CF94" xr:uid="{77E8DBC0-93E5-014F-9C45-27F0FA001481}">
      <formula1>HiatusHB</formula1>
    </dataValidation>
    <dataValidation type="list" errorStyle="warning" allowBlank="1" showInputMessage="1" showErrorMessage="1" error="This is Hiatus/Homebound status. You may enter another value but please use from the dropdown list if applicable" sqref="BN8:BN94" xr:uid="{21C82391-B759-F94A-95C3-CCA6EE09016E}">
      <formula1>HiatusHB</formula1>
    </dataValidation>
    <dataValidation type="list" allowBlank="1" showInputMessage="1" showErrorMessage="1" error="This is dropdown for Referral End Status" sqref="R8:R94" xr:uid="{7E4FB575-9F4A-4F4F-AAA7-C2EE12684CC7}">
      <formula1>ReferralEnd</formula1>
    </dataValidation>
    <dataValidation type="list" errorStyle="warning" allowBlank="1" showInputMessage="1" showErrorMessage="1" error="This is a dropdown for Current Status" sqref="H8:H94" xr:uid="{84C307D1-2F54-1C4B-9475-16FDED4E1C4D}">
      <formula1>CurrentStatus</formula1>
    </dataValidation>
  </dataValidations>
  <hyperlinks>
    <hyperlink ref="AD29" r:id="rId1" xr:uid="{74A6FB42-6600-D940-8510-319527A29F53}"/>
    <hyperlink ref="AD27" r:id="rId2" xr:uid="{1BDEE20E-5B57-1540-BD37-8C5944B9FFB4}"/>
    <hyperlink ref="AD26" r:id="rId3" xr:uid="{E6FEA0A9-9E59-424E-B1B5-185F5A21C688}"/>
    <hyperlink ref="AD50" r:id="rId4" xr:uid="{D210831F-28DA-CE47-9BD4-B198A88A8E8D}"/>
    <hyperlink ref="AD32" r:id="rId5" xr:uid="{3D548078-EA81-E04A-992A-4DEDDAC0D6F7}"/>
    <hyperlink ref="AD13" r:id="rId6" xr:uid="{A1D0CA04-6DAB-FC41-9CBB-EFF7A20A0E44}"/>
    <hyperlink ref="AD11" r:id="rId7" xr:uid="{FDE7BCA7-783A-5648-A35F-6E0C04E9852F}"/>
    <hyperlink ref="AD33" r:id="rId8" xr:uid="{E1EB4FA7-F2F5-C146-8C68-BA6B7036AB29}"/>
    <hyperlink ref="AD16" r:id="rId9" xr:uid="{9079C0D3-A947-EB4E-87CC-234370225700}"/>
    <hyperlink ref="AD24" r:id="rId10" xr:uid="{E5752C78-9E9E-6042-A647-789416C76B5D}"/>
    <hyperlink ref="AD14" r:id="rId11" xr:uid="{71F0E455-9132-5444-A467-59364A01559B}"/>
    <hyperlink ref="AD31" r:id="rId12" xr:uid="{D8B80BF7-DE1F-F647-ADE9-D3552AB15080}"/>
    <hyperlink ref="AD40" r:id="rId13" xr:uid="{17E3AB5E-13FE-664B-8B80-A1A9DAE5F896}"/>
    <hyperlink ref="AD10" r:id="rId14" xr:uid="{FBC6978C-91BF-3645-8086-B56D19566A9A}"/>
    <hyperlink ref="AD30" r:id="rId15" xr:uid="{0E520687-BFAF-BC48-BE94-30B266A4E5EA}"/>
  </hyperlinks>
  <pageMargins left="0.7" right="0.7" top="0.75" bottom="0.75" header="0" footer="0"/>
  <pageSetup orientation="portrait" r:id="rId16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C6CBB93-D5E9-4D13-BB05-E5327D7083CC}">
          <x14:formula1>
            <xm:f>Sheet1!$A$5:$A$21</xm:f>
          </x14:formula1>
          <xm:sqref>E94</xm:sqref>
        </x14:dataValidation>
        <x14:dataValidation type="list" errorStyle="information" allowBlank="1" showInputMessage="1" showErrorMessage="1" error="Please use item from dropdown list if applicable" xr:uid="{4210048F-B6B6-2F49-B41F-555186F8A4F6}">
          <x14:formula1>
            <xm:f>Sheet1!$A$71:$A$85</xm:f>
          </x14:formula1>
          <xm:sqref>T8:T94</xm:sqref>
        </x14:dataValidation>
        <x14:dataValidation type="list" errorStyle="warning" allowBlank="1" showInputMessage="1" showErrorMessage="1" error="This is the dropdown for living situation. You may enter in another value but please use from drop down if applicable" xr:uid="{90586CE8-7572-5747-98D7-CF777984B275}">
          <x14:formula1>
            <xm:f>Sheet1!$A$45:$A$54</xm:f>
          </x14:formula1>
          <xm:sqref>AR8:AR94</xm:sqref>
        </x14:dataValidation>
        <x14:dataValidation type="list" allowBlank="1" showInputMessage="1" showErrorMessage="1" error="This is the dropdown list for Ethnicity. You must use a value from the list." xr:uid="{AA9D6724-2068-2C41-B305-2B8FD6F1D4AC}">
          <x14:formula1>
            <xm:f>Sheet1!$A$58:$A$61</xm:f>
          </x14:formula1>
          <xm:sqref>AQ8:AQ94</xm:sqref>
        </x14:dataValidation>
        <x14:dataValidation type="list" errorStyle="warning" allowBlank="1" showInputMessage="1" showErrorMessage="1" error="This is a dropdown for Current Status" xr:uid="{586079F0-0CCC-4CC6-827B-5F6A5B30B973}">
          <x14:formula1>
            <xm:f>Sheet1!$A$25:$A$35</xm:f>
          </x14:formula1>
          <xm:sqref>G8:G94</xm:sqref>
        </x14:dataValidation>
        <x14:dataValidation type="list" errorStyle="information" allowBlank="1" showInputMessage="1" showErrorMessage="1" error="Please use item in dropdown list if applicable" xr:uid="{88086C7A-C87A-4801-9D21-6026B755B6D3}">
          <x14:formula1>
            <xm:f>Sheet1!$A$89:$A$106</xm:f>
          </x14:formula1>
          <xm:sqref>X8:X94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EE32-45E3-46A3-A6D5-DC8E732FC5AC}">
  <dimension ref="A1:E137"/>
  <sheetViews>
    <sheetView topLeftCell="A33" workbookViewId="0">
      <selection activeCell="D65" sqref="D65"/>
    </sheetView>
  </sheetViews>
  <sheetFormatPr defaultColWidth="8.86328125" defaultRowHeight="14.25" x14ac:dyDescent="0.45"/>
  <cols>
    <col min="1" max="1" width="29.265625" style="166" customWidth="1"/>
    <col min="2" max="2" width="16.265625" customWidth="1"/>
    <col min="4" max="4" width="16.73046875" bestFit="1" customWidth="1"/>
    <col min="5" max="5" width="22.73046875" customWidth="1"/>
  </cols>
  <sheetData>
    <row r="1" spans="1:5" ht="29.25" customHeight="1" thickBot="1" x14ac:dyDescent="0.5">
      <c r="A1" s="294" t="s">
        <v>718</v>
      </c>
      <c r="B1" s="295"/>
      <c r="D1" s="307" t="s">
        <v>719</v>
      </c>
      <c r="E1" s="308"/>
    </row>
    <row r="2" spans="1:5" ht="14.65" thickBot="1" x14ac:dyDescent="0.5">
      <c r="D2" s="166"/>
      <c r="E2" s="166"/>
    </row>
    <row r="3" spans="1:5" x14ac:dyDescent="0.45">
      <c r="A3" s="297" t="s">
        <v>720</v>
      </c>
      <c r="B3" s="298"/>
      <c r="D3" s="167" t="s">
        <v>36</v>
      </c>
      <c r="E3" s="168" t="s">
        <v>721</v>
      </c>
    </row>
    <row r="4" spans="1:5" x14ac:dyDescent="0.45">
      <c r="A4" s="169" t="s">
        <v>722</v>
      </c>
      <c r="B4" s="170" t="s">
        <v>723</v>
      </c>
      <c r="D4" s="171" t="s">
        <v>724</v>
      </c>
      <c r="E4" s="309" t="s">
        <v>725</v>
      </c>
    </row>
    <row r="5" spans="1:5" x14ac:dyDescent="0.45">
      <c r="A5" s="172" t="s">
        <v>216</v>
      </c>
      <c r="B5" s="312" t="s">
        <v>726</v>
      </c>
      <c r="D5" s="171" t="s">
        <v>727</v>
      </c>
      <c r="E5" s="310"/>
    </row>
    <row r="6" spans="1:5" x14ac:dyDescent="0.45">
      <c r="A6" s="172" t="s">
        <v>279</v>
      </c>
      <c r="B6" s="313"/>
      <c r="D6" s="171" t="s">
        <v>728</v>
      </c>
      <c r="E6" s="310"/>
    </row>
    <row r="7" spans="1:5" x14ac:dyDescent="0.45">
      <c r="A7" s="172" t="s">
        <v>316</v>
      </c>
      <c r="B7" s="313"/>
      <c r="D7" s="171" t="s">
        <v>298</v>
      </c>
      <c r="E7" s="310"/>
    </row>
    <row r="8" spans="1:5" x14ac:dyDescent="0.45">
      <c r="A8" s="172" t="s">
        <v>729</v>
      </c>
      <c r="B8" s="313"/>
      <c r="D8" s="171" t="s">
        <v>425</v>
      </c>
      <c r="E8" s="310"/>
    </row>
    <row r="9" spans="1:5" ht="14.65" thickBot="1" x14ac:dyDescent="0.5">
      <c r="A9" s="172" t="s">
        <v>340</v>
      </c>
      <c r="B9" s="313"/>
      <c r="D9" s="173" t="s">
        <v>294</v>
      </c>
      <c r="E9" s="311"/>
    </row>
    <row r="10" spans="1:5" ht="28.5" x14ac:dyDescent="0.45">
      <c r="A10" s="172" t="s">
        <v>371</v>
      </c>
      <c r="B10" s="313"/>
    </row>
    <row r="11" spans="1:5" x14ac:dyDescent="0.45">
      <c r="A11" s="172" t="s">
        <v>409</v>
      </c>
      <c r="B11" s="313"/>
    </row>
    <row r="12" spans="1:5" x14ac:dyDescent="0.45">
      <c r="A12" s="172" t="s">
        <v>421</v>
      </c>
      <c r="B12" s="313"/>
    </row>
    <row r="13" spans="1:5" x14ac:dyDescent="0.45">
      <c r="A13" s="172" t="s">
        <v>444</v>
      </c>
      <c r="B13" s="313"/>
    </row>
    <row r="14" spans="1:5" x14ac:dyDescent="0.45">
      <c r="A14" s="172" t="s">
        <v>462</v>
      </c>
      <c r="B14" s="313"/>
    </row>
    <row r="15" spans="1:5" ht="28.5" x14ac:dyDescent="0.45">
      <c r="A15" s="172" t="s">
        <v>498</v>
      </c>
      <c r="B15" s="313"/>
    </row>
    <row r="16" spans="1:5" x14ac:dyDescent="0.45">
      <c r="A16" s="172" t="s">
        <v>509</v>
      </c>
      <c r="B16" s="313"/>
    </row>
    <row r="17" spans="1:2" x14ac:dyDescent="0.45">
      <c r="A17" s="172" t="s">
        <v>545</v>
      </c>
      <c r="B17" s="313"/>
    </row>
    <row r="18" spans="1:2" x14ac:dyDescent="0.45">
      <c r="A18" s="172" t="s">
        <v>573</v>
      </c>
      <c r="B18" s="313"/>
    </row>
    <row r="19" spans="1:2" x14ac:dyDescent="0.45">
      <c r="A19" s="172" t="s">
        <v>643</v>
      </c>
      <c r="B19" s="313"/>
    </row>
    <row r="20" spans="1:2" ht="28.5" x14ac:dyDescent="0.45">
      <c r="A20" s="172" t="s">
        <v>682</v>
      </c>
      <c r="B20" s="313"/>
    </row>
    <row r="21" spans="1:2" ht="14.65" thickBot="1" x14ac:dyDescent="0.5">
      <c r="A21" s="174" t="s">
        <v>730</v>
      </c>
      <c r="B21" s="314"/>
    </row>
    <row r="22" spans="1:2" ht="14.65" thickBot="1" x14ac:dyDescent="0.5"/>
    <row r="23" spans="1:2" x14ac:dyDescent="0.45">
      <c r="A23" s="315" t="s">
        <v>731</v>
      </c>
      <c r="B23" s="316"/>
    </row>
    <row r="24" spans="1:2" x14ac:dyDescent="0.45">
      <c r="A24" s="175" t="s">
        <v>732</v>
      </c>
      <c r="B24" s="176" t="s">
        <v>723</v>
      </c>
    </row>
    <row r="25" spans="1:2" x14ac:dyDescent="0.45">
      <c r="A25" s="177" t="s">
        <v>733</v>
      </c>
      <c r="B25" s="309" t="s">
        <v>734</v>
      </c>
    </row>
    <row r="26" spans="1:2" x14ac:dyDescent="0.45">
      <c r="A26" s="177" t="s">
        <v>530</v>
      </c>
      <c r="B26" s="310"/>
    </row>
    <row r="27" spans="1:2" ht="28.5" x14ac:dyDescent="0.45">
      <c r="A27" s="177" t="s">
        <v>735</v>
      </c>
      <c r="B27" s="310"/>
    </row>
    <row r="28" spans="1:2" x14ac:dyDescent="0.45">
      <c r="A28" s="177" t="s">
        <v>218</v>
      </c>
      <c r="B28" s="310"/>
    </row>
    <row r="29" spans="1:2" x14ac:dyDescent="0.45">
      <c r="A29" s="177" t="s">
        <v>736</v>
      </c>
      <c r="B29" s="310"/>
    </row>
    <row r="30" spans="1:2" x14ac:dyDescent="0.45">
      <c r="A30" s="177" t="s">
        <v>411</v>
      </c>
      <c r="B30" s="310"/>
    </row>
    <row r="31" spans="1:2" ht="28.5" x14ac:dyDescent="0.45">
      <c r="A31" s="177" t="s">
        <v>737</v>
      </c>
      <c r="B31" s="310"/>
    </row>
    <row r="32" spans="1:2" ht="28.5" x14ac:dyDescent="0.45">
      <c r="A32" s="177" t="s">
        <v>738</v>
      </c>
      <c r="B32" s="310"/>
    </row>
    <row r="33" spans="1:2" x14ac:dyDescent="0.45">
      <c r="A33" s="177" t="s">
        <v>294</v>
      </c>
      <c r="B33" s="310"/>
    </row>
    <row r="34" spans="1:2" x14ac:dyDescent="0.45">
      <c r="A34" s="177" t="s">
        <v>267</v>
      </c>
      <c r="B34" s="310"/>
    </row>
    <row r="35" spans="1:2" ht="14.65" thickBot="1" x14ac:dyDescent="0.5">
      <c r="A35" s="178" t="s">
        <v>422</v>
      </c>
      <c r="B35" s="311"/>
    </row>
    <row r="36" spans="1:2" ht="14.65" thickBot="1" x14ac:dyDescent="0.5"/>
    <row r="37" spans="1:2" x14ac:dyDescent="0.45">
      <c r="A37" s="297" t="s">
        <v>46</v>
      </c>
      <c r="B37" s="298"/>
    </row>
    <row r="38" spans="1:2" x14ac:dyDescent="0.45">
      <c r="A38" s="169" t="s">
        <v>732</v>
      </c>
      <c r="B38" s="170" t="s">
        <v>723</v>
      </c>
    </row>
    <row r="39" spans="1:2" x14ac:dyDescent="0.45">
      <c r="A39" s="171" t="s">
        <v>297</v>
      </c>
      <c r="B39" s="309" t="s">
        <v>739</v>
      </c>
    </row>
    <row r="40" spans="1:2" x14ac:dyDescent="0.45">
      <c r="A40" s="171" t="s">
        <v>269</v>
      </c>
      <c r="B40" s="310"/>
    </row>
    <row r="41" spans="1:2" ht="14.65" thickBot="1" x14ac:dyDescent="0.5">
      <c r="A41" s="173" t="s">
        <v>422</v>
      </c>
      <c r="B41" s="311"/>
    </row>
    <row r="42" spans="1:2" ht="14.65" thickBot="1" x14ac:dyDescent="0.5"/>
    <row r="43" spans="1:2" x14ac:dyDescent="0.45">
      <c r="A43" s="297" t="s">
        <v>740</v>
      </c>
      <c r="B43" s="298"/>
    </row>
    <row r="44" spans="1:2" x14ac:dyDescent="0.45">
      <c r="A44" s="169" t="s">
        <v>732</v>
      </c>
      <c r="B44" s="170" t="s">
        <v>723</v>
      </c>
    </row>
    <row r="45" spans="1:2" x14ac:dyDescent="0.45">
      <c r="A45" s="171" t="s">
        <v>288</v>
      </c>
      <c r="B45" s="309" t="s">
        <v>741</v>
      </c>
    </row>
    <row r="46" spans="1:2" x14ac:dyDescent="0.45">
      <c r="A46" s="171" t="s">
        <v>233</v>
      </c>
      <c r="B46" s="310"/>
    </row>
    <row r="47" spans="1:2" x14ac:dyDescent="0.45">
      <c r="A47" s="171" t="s">
        <v>276</v>
      </c>
      <c r="B47" s="310"/>
    </row>
    <row r="48" spans="1:2" x14ac:dyDescent="0.45">
      <c r="A48" s="171" t="s">
        <v>434</v>
      </c>
      <c r="B48" s="310"/>
    </row>
    <row r="49" spans="1:2" x14ac:dyDescent="0.45">
      <c r="A49" s="171" t="s">
        <v>742</v>
      </c>
      <c r="B49" s="310"/>
    </row>
    <row r="50" spans="1:2" x14ac:dyDescent="0.45">
      <c r="A50" s="171" t="s">
        <v>506</v>
      </c>
      <c r="B50" s="310"/>
    </row>
    <row r="51" spans="1:2" x14ac:dyDescent="0.45">
      <c r="A51" s="171" t="s">
        <v>743</v>
      </c>
      <c r="B51" s="310"/>
    </row>
    <row r="52" spans="1:2" x14ac:dyDescent="0.45">
      <c r="A52" s="171" t="s">
        <v>406</v>
      </c>
      <c r="B52" s="310"/>
    </row>
    <row r="53" spans="1:2" x14ac:dyDescent="0.45">
      <c r="A53" s="179" t="s">
        <v>426</v>
      </c>
      <c r="B53" s="310"/>
    </row>
    <row r="54" spans="1:2" ht="14.65" thickBot="1" x14ac:dyDescent="0.5">
      <c r="A54" s="173" t="s">
        <v>425</v>
      </c>
      <c r="B54" s="311"/>
    </row>
    <row r="55" spans="1:2" ht="14.65" thickBot="1" x14ac:dyDescent="0.5"/>
    <row r="56" spans="1:2" x14ac:dyDescent="0.45">
      <c r="A56" s="297" t="s">
        <v>744</v>
      </c>
      <c r="B56" s="298"/>
    </row>
    <row r="57" spans="1:2" x14ac:dyDescent="0.45">
      <c r="A57" s="180" t="s">
        <v>744</v>
      </c>
      <c r="B57" s="181" t="s">
        <v>723</v>
      </c>
    </row>
    <row r="58" spans="1:2" x14ac:dyDescent="0.45">
      <c r="A58" s="171" t="s">
        <v>264</v>
      </c>
      <c r="B58" s="296" t="s">
        <v>745</v>
      </c>
    </row>
    <row r="59" spans="1:2" x14ac:dyDescent="0.45">
      <c r="A59" s="171" t="s">
        <v>232</v>
      </c>
      <c r="B59" s="296"/>
    </row>
    <row r="60" spans="1:2" x14ac:dyDescent="0.45">
      <c r="A60" s="171" t="s">
        <v>252</v>
      </c>
      <c r="B60" s="296"/>
    </row>
    <row r="61" spans="1:2" x14ac:dyDescent="0.45">
      <c r="A61" s="171" t="s">
        <v>495</v>
      </c>
      <c r="B61" s="296"/>
    </row>
    <row r="62" spans="1:2" ht="14.65" thickBot="1" x14ac:dyDescent="0.5"/>
    <row r="63" spans="1:2" x14ac:dyDescent="0.45">
      <c r="A63" s="297" t="s">
        <v>746</v>
      </c>
      <c r="B63" s="298"/>
    </row>
    <row r="64" spans="1:2" x14ac:dyDescent="0.45">
      <c r="A64" s="169" t="s">
        <v>732</v>
      </c>
      <c r="B64" s="170" t="s">
        <v>723</v>
      </c>
    </row>
    <row r="65" spans="1:2" x14ac:dyDescent="0.45">
      <c r="A65" s="171" t="s">
        <v>336</v>
      </c>
      <c r="B65" s="296" t="s">
        <v>747</v>
      </c>
    </row>
    <row r="66" spans="1:2" x14ac:dyDescent="0.45">
      <c r="A66" s="171" t="s">
        <v>651</v>
      </c>
      <c r="B66" s="296"/>
    </row>
    <row r="67" spans="1:2" ht="14.65" thickBot="1" x14ac:dyDescent="0.5">
      <c r="A67" s="173" t="s">
        <v>425</v>
      </c>
      <c r="B67" s="299"/>
    </row>
    <row r="68" spans="1:2" ht="14.65" thickBot="1" x14ac:dyDescent="0.5"/>
    <row r="69" spans="1:2" x14ac:dyDescent="0.45">
      <c r="A69" s="297" t="s">
        <v>748</v>
      </c>
      <c r="B69" s="298"/>
    </row>
    <row r="70" spans="1:2" x14ac:dyDescent="0.45">
      <c r="A70" s="169" t="s">
        <v>749</v>
      </c>
      <c r="B70" s="170" t="s">
        <v>721</v>
      </c>
    </row>
    <row r="71" spans="1:2" x14ac:dyDescent="0.45">
      <c r="A71" s="171" t="s">
        <v>611</v>
      </c>
      <c r="B71" s="300" t="s">
        <v>750</v>
      </c>
    </row>
    <row r="72" spans="1:2" x14ac:dyDescent="0.45">
      <c r="A72" s="171" t="s">
        <v>630</v>
      </c>
      <c r="B72" s="301"/>
    </row>
    <row r="73" spans="1:2" x14ac:dyDescent="0.45">
      <c r="A73" s="171" t="s">
        <v>375</v>
      </c>
      <c r="B73" s="301"/>
    </row>
    <row r="74" spans="1:2" x14ac:dyDescent="0.45">
      <c r="A74" s="171" t="s">
        <v>751</v>
      </c>
      <c r="B74" s="301"/>
    </row>
    <row r="75" spans="1:2" x14ac:dyDescent="0.45">
      <c r="A75" s="171" t="s">
        <v>752</v>
      </c>
      <c r="B75" s="301"/>
    </row>
    <row r="76" spans="1:2" x14ac:dyDescent="0.45">
      <c r="A76" s="171" t="s">
        <v>753</v>
      </c>
      <c r="B76" s="301"/>
    </row>
    <row r="77" spans="1:2" x14ac:dyDescent="0.45">
      <c r="A77" s="171" t="s">
        <v>400</v>
      </c>
      <c r="B77" s="301"/>
    </row>
    <row r="78" spans="1:2" x14ac:dyDescent="0.45">
      <c r="A78" s="171" t="s">
        <v>754</v>
      </c>
      <c r="B78" s="301"/>
    </row>
    <row r="79" spans="1:2" x14ac:dyDescent="0.45">
      <c r="A79" s="171" t="s">
        <v>453</v>
      </c>
      <c r="B79" s="301"/>
    </row>
    <row r="80" spans="1:2" x14ac:dyDescent="0.45">
      <c r="A80" s="171" t="s">
        <v>629</v>
      </c>
      <c r="B80" s="301"/>
    </row>
    <row r="81" spans="1:2" x14ac:dyDescent="0.45">
      <c r="A81" s="171" t="s">
        <v>298</v>
      </c>
      <c r="B81" s="301"/>
    </row>
    <row r="82" spans="1:2" x14ac:dyDescent="0.45">
      <c r="A82" s="171" t="s">
        <v>755</v>
      </c>
      <c r="B82" s="301"/>
    </row>
    <row r="83" spans="1:2" x14ac:dyDescent="0.45">
      <c r="A83" s="171" t="s">
        <v>756</v>
      </c>
      <c r="B83" s="301"/>
    </row>
    <row r="84" spans="1:2" x14ac:dyDescent="0.45">
      <c r="A84" s="179" t="s">
        <v>757</v>
      </c>
      <c r="B84" s="301"/>
    </row>
    <row r="85" spans="1:2" ht="14.65" thickBot="1" x14ac:dyDescent="0.5">
      <c r="A85" s="173" t="s">
        <v>425</v>
      </c>
      <c r="B85" s="302"/>
    </row>
    <row r="86" spans="1:2" ht="14.65" thickBot="1" x14ac:dyDescent="0.5"/>
    <row r="87" spans="1:2" x14ac:dyDescent="0.45">
      <c r="A87" s="303" t="s">
        <v>758</v>
      </c>
      <c r="B87" s="304"/>
    </row>
    <row r="88" spans="1:2" x14ac:dyDescent="0.45">
      <c r="A88" s="182" t="s">
        <v>749</v>
      </c>
      <c r="B88" s="183" t="s">
        <v>721</v>
      </c>
    </row>
    <row r="89" spans="1:2" ht="14.25" customHeight="1" x14ac:dyDescent="0.45">
      <c r="A89" s="182" t="s">
        <v>414</v>
      </c>
      <c r="B89" s="305" t="s">
        <v>759</v>
      </c>
    </row>
    <row r="90" spans="1:2" ht="14.25" customHeight="1" x14ac:dyDescent="0.45">
      <c r="A90" s="182" t="s">
        <v>289</v>
      </c>
      <c r="B90" s="305"/>
    </row>
    <row r="91" spans="1:2" ht="14.25" customHeight="1" x14ac:dyDescent="0.45">
      <c r="A91" s="182" t="s">
        <v>611</v>
      </c>
      <c r="B91" s="305"/>
    </row>
    <row r="92" spans="1:2" ht="14.25" customHeight="1" x14ac:dyDescent="0.45">
      <c r="A92" s="182" t="s">
        <v>630</v>
      </c>
      <c r="B92" s="305"/>
    </row>
    <row r="93" spans="1:2" ht="14.25" customHeight="1" x14ac:dyDescent="0.45">
      <c r="A93" s="182" t="s">
        <v>375</v>
      </c>
      <c r="B93" s="305"/>
    </row>
    <row r="94" spans="1:2" ht="14.25" customHeight="1" x14ac:dyDescent="0.45">
      <c r="A94" s="182" t="s">
        <v>751</v>
      </c>
      <c r="B94" s="305"/>
    </row>
    <row r="95" spans="1:2" ht="14.25" customHeight="1" x14ac:dyDescent="0.45">
      <c r="A95" s="182" t="s">
        <v>752</v>
      </c>
      <c r="B95" s="305"/>
    </row>
    <row r="96" spans="1:2" ht="14.25" customHeight="1" x14ac:dyDescent="0.45">
      <c r="A96" s="182" t="s">
        <v>753</v>
      </c>
      <c r="B96" s="305"/>
    </row>
    <row r="97" spans="1:2" ht="14.25" customHeight="1" x14ac:dyDescent="0.45">
      <c r="A97" s="182" t="s">
        <v>400</v>
      </c>
      <c r="B97" s="305"/>
    </row>
    <row r="98" spans="1:2" ht="14.25" customHeight="1" x14ac:dyDescent="0.45">
      <c r="A98" s="182" t="s">
        <v>754</v>
      </c>
      <c r="B98" s="305"/>
    </row>
    <row r="99" spans="1:2" ht="14.25" customHeight="1" x14ac:dyDescent="0.45">
      <c r="A99" s="182" t="s">
        <v>453</v>
      </c>
      <c r="B99" s="305"/>
    </row>
    <row r="100" spans="1:2" ht="14.25" customHeight="1" x14ac:dyDescent="0.45">
      <c r="A100" s="182" t="s">
        <v>629</v>
      </c>
      <c r="B100" s="305"/>
    </row>
    <row r="101" spans="1:2" ht="14.25" customHeight="1" x14ac:dyDescent="0.45">
      <c r="A101" s="182" t="s">
        <v>298</v>
      </c>
      <c r="B101" s="305"/>
    </row>
    <row r="102" spans="1:2" ht="14.25" customHeight="1" x14ac:dyDescent="0.45">
      <c r="A102" s="182" t="s">
        <v>755</v>
      </c>
      <c r="B102" s="305"/>
    </row>
    <row r="103" spans="1:2" ht="14.85" customHeight="1" x14ac:dyDescent="0.45">
      <c r="A103" s="182" t="s">
        <v>760</v>
      </c>
      <c r="B103" s="305"/>
    </row>
    <row r="104" spans="1:2" x14ac:dyDescent="0.45">
      <c r="A104" s="182" t="s">
        <v>761</v>
      </c>
      <c r="B104" s="305"/>
    </row>
    <row r="105" spans="1:2" ht="14.85" customHeight="1" x14ac:dyDescent="0.45">
      <c r="A105" s="182" t="s">
        <v>762</v>
      </c>
      <c r="B105" s="305"/>
    </row>
    <row r="106" spans="1:2" ht="14.85" customHeight="1" thickBot="1" x14ac:dyDescent="0.5">
      <c r="A106" s="184" t="s">
        <v>763</v>
      </c>
      <c r="B106" s="306"/>
    </row>
    <row r="107" spans="1:2" ht="14.65" thickBot="1" x14ac:dyDescent="0.5"/>
    <row r="108" spans="1:2" x14ac:dyDescent="0.45">
      <c r="A108" s="297" t="s">
        <v>764</v>
      </c>
      <c r="B108" s="298"/>
    </row>
    <row r="109" spans="1:2" x14ac:dyDescent="0.45">
      <c r="A109" s="169" t="s">
        <v>764</v>
      </c>
      <c r="B109" s="170" t="s">
        <v>721</v>
      </c>
    </row>
    <row r="110" spans="1:2" x14ac:dyDescent="0.45">
      <c r="A110" s="171" t="s">
        <v>234</v>
      </c>
      <c r="B110" s="296" t="s">
        <v>765</v>
      </c>
    </row>
    <row r="111" spans="1:2" x14ac:dyDescent="0.45">
      <c r="A111" s="171" t="s">
        <v>351</v>
      </c>
      <c r="B111" s="296"/>
    </row>
    <row r="112" spans="1:2" x14ac:dyDescent="0.45">
      <c r="A112" s="171" t="s">
        <v>253</v>
      </c>
      <c r="B112" s="296"/>
    </row>
    <row r="113" spans="1:2" x14ac:dyDescent="0.45">
      <c r="A113" s="171" t="s">
        <v>236</v>
      </c>
      <c r="B113" s="296"/>
    </row>
    <row r="114" spans="1:2" x14ac:dyDescent="0.45">
      <c r="A114" s="171" t="s">
        <v>289</v>
      </c>
      <c r="B114" s="296"/>
    </row>
    <row r="115" spans="1:2" x14ac:dyDescent="0.45">
      <c r="A115" s="171" t="s">
        <v>766</v>
      </c>
      <c r="B115" s="296"/>
    </row>
    <row r="116" spans="1:2" ht="14.65" thickBot="1" x14ac:dyDescent="0.5">
      <c r="A116" s="173" t="s">
        <v>335</v>
      </c>
      <c r="B116" s="299"/>
    </row>
    <row r="117" spans="1:2" ht="14.65" thickBot="1" x14ac:dyDescent="0.5"/>
    <row r="118" spans="1:2" x14ac:dyDescent="0.45">
      <c r="A118" s="297" t="s">
        <v>767</v>
      </c>
      <c r="B118" s="298"/>
    </row>
    <row r="119" spans="1:2" x14ac:dyDescent="0.45">
      <c r="A119" s="180" t="s">
        <v>768</v>
      </c>
      <c r="B119" s="181" t="s">
        <v>721</v>
      </c>
    </row>
    <row r="120" spans="1:2" x14ac:dyDescent="0.45">
      <c r="A120" s="185" t="s">
        <v>769</v>
      </c>
      <c r="B120" s="296" t="s">
        <v>770</v>
      </c>
    </row>
    <row r="121" spans="1:2" x14ac:dyDescent="0.45">
      <c r="A121" s="186" t="s">
        <v>771</v>
      </c>
      <c r="B121" s="296"/>
    </row>
    <row r="122" spans="1:2" x14ac:dyDescent="0.45">
      <c r="A122" s="186" t="s">
        <v>772</v>
      </c>
      <c r="B122" s="296"/>
    </row>
    <row r="123" spans="1:2" x14ac:dyDescent="0.45">
      <c r="A123" s="186" t="s">
        <v>773</v>
      </c>
      <c r="B123" s="296"/>
    </row>
    <row r="124" spans="1:2" x14ac:dyDescent="0.45">
      <c r="A124" s="186" t="s">
        <v>774</v>
      </c>
      <c r="B124" s="296"/>
    </row>
    <row r="125" spans="1:2" x14ac:dyDescent="0.45">
      <c r="A125" s="186" t="s">
        <v>775</v>
      </c>
      <c r="B125" s="296"/>
    </row>
    <row r="126" spans="1:2" x14ac:dyDescent="0.45">
      <c r="A126" s="186" t="s">
        <v>776</v>
      </c>
      <c r="B126" s="296"/>
    </row>
    <row r="127" spans="1:2" x14ac:dyDescent="0.45">
      <c r="A127" s="186" t="s">
        <v>777</v>
      </c>
      <c r="B127" s="296"/>
    </row>
    <row r="128" spans="1:2" x14ac:dyDescent="0.45">
      <c r="A128" s="186" t="s">
        <v>778</v>
      </c>
      <c r="B128" s="296"/>
    </row>
    <row r="129" spans="1:2" x14ac:dyDescent="0.45">
      <c r="A129" s="186" t="s">
        <v>779</v>
      </c>
      <c r="B129" s="296"/>
    </row>
    <row r="130" spans="1:2" x14ac:dyDescent="0.45">
      <c r="A130" s="186" t="s">
        <v>780</v>
      </c>
      <c r="B130" s="296"/>
    </row>
    <row r="131" spans="1:2" x14ac:dyDescent="0.45">
      <c r="A131" s="186" t="s">
        <v>781</v>
      </c>
      <c r="B131" s="296"/>
    </row>
    <row r="132" spans="1:2" ht="14.65" thickBot="1" x14ac:dyDescent="0.5">
      <c r="A132" s="187" t="s">
        <v>782</v>
      </c>
      <c r="B132" s="299"/>
    </row>
    <row r="133" spans="1:2" ht="14.65" thickBot="1" x14ac:dyDescent="0.5"/>
    <row r="134" spans="1:2" ht="14.65" thickBot="1" x14ac:dyDescent="0.5">
      <c r="A134" s="294" t="s">
        <v>783</v>
      </c>
      <c r="B134" s="295"/>
    </row>
    <row r="135" spans="1:2" ht="14.65" thickBot="1" x14ac:dyDescent="0.5"/>
    <row r="136" spans="1:2" x14ac:dyDescent="0.45">
      <c r="A136" s="167" t="s">
        <v>784</v>
      </c>
      <c r="B136" s="168" t="s">
        <v>721</v>
      </c>
    </row>
    <row r="137" spans="1:2" ht="14.65" thickBot="1" x14ac:dyDescent="0.5">
      <c r="A137" s="173" t="s">
        <v>785</v>
      </c>
      <c r="B137" s="188" t="s">
        <v>786</v>
      </c>
    </row>
  </sheetData>
  <mergeCells count="24">
    <mergeCell ref="A56:B56"/>
    <mergeCell ref="A1:B1"/>
    <mergeCell ref="D1:E1"/>
    <mergeCell ref="A3:B3"/>
    <mergeCell ref="E4:E9"/>
    <mergeCell ref="B5:B21"/>
    <mergeCell ref="A23:B23"/>
    <mergeCell ref="B25:B35"/>
    <mergeCell ref="A37:B37"/>
    <mergeCell ref="B39:B41"/>
    <mergeCell ref="A43:B43"/>
    <mergeCell ref="B45:B54"/>
    <mergeCell ref="A134:B134"/>
    <mergeCell ref="B58:B61"/>
    <mergeCell ref="A63:B63"/>
    <mergeCell ref="B65:B67"/>
    <mergeCell ref="A69:B69"/>
    <mergeCell ref="B71:B85"/>
    <mergeCell ref="A87:B87"/>
    <mergeCell ref="B89:B106"/>
    <mergeCell ref="A108:B108"/>
    <mergeCell ref="B110:B116"/>
    <mergeCell ref="A118:B118"/>
    <mergeCell ref="B120:B13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B696322CE08E4C8C0F3D4829B6F8C4" ma:contentTypeVersion="8" ma:contentTypeDescription="Create a new document." ma:contentTypeScope="" ma:versionID="4fe1be9af8e24bc976c7e44e11c278f7">
  <xsd:schema xmlns:xsd="http://www.w3.org/2001/XMLSchema" xmlns:xs="http://www.w3.org/2001/XMLSchema" xmlns:p="http://schemas.microsoft.com/office/2006/metadata/properties" xmlns:ns2="8683a4ab-2e62-43e2-80f1-69ef31931220" targetNamespace="http://schemas.microsoft.com/office/2006/metadata/properties" ma:root="true" ma:fieldsID="4095fe606a2f21fad1eeb991ddcc931f" ns2:_="">
    <xsd:import namespace="8683a4ab-2e62-43e2-80f1-69ef31931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3a4ab-2e62-43e2-80f1-69ef319312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584544-BB8F-476D-89B3-A063F544B8C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0E0ADBA-742C-4190-A21B-9E6BD10DD9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83a4ab-2e62-43e2-80f1-69ef319312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7B3B57-8F0E-488C-A514-80A3819969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GenInfo (2)</vt:lpstr>
      <vt:lpstr>Sheet1</vt:lpstr>
      <vt:lpstr>'GenInfo (2)'!GeninfoWhole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Edwin Wang</cp:lastModifiedBy>
  <cp:revision/>
  <dcterms:created xsi:type="dcterms:W3CDTF">2022-01-27T14:44:42Z</dcterms:created>
  <dcterms:modified xsi:type="dcterms:W3CDTF">2022-01-28T19:23:45Z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0x010100C3B696322CE08E4C8C0F3D4829B6F8C4</vt:lpwstr>
  </property>
</Properties>
</file>